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codeName="ThisWorkbook" defaultThemeVersion="124226"/>
  <xr:revisionPtr revIDLastSave="2" documentId="13_ncr:1_{EC4DF56E-F8BD-484E-A250-BB79E0559EEC}" xr6:coauthVersionLast="47" xr6:coauthVersionMax="47" xr10:uidLastSave="{EBA09557-E727-44B7-8897-BA9F971E2A58}"/>
  <bookViews>
    <workbookView xWindow="-120" yWindow="-120" windowWidth="29040" windowHeight="15720" firstSheet="2" activeTab="12" xr2:uid="{00000000-000D-0000-FFFF-FFFF00000000}"/>
  </bookViews>
  <sheets>
    <sheet name="2021 reale" sheetId="12" r:id="rId1"/>
    <sheet name="2022 reale" sheetId="24" r:id="rId2"/>
    <sheet name="2023 reale" sheetId="26" r:id="rId3"/>
    <sheet name="Linea" sheetId="16" state="hidden" r:id="rId4"/>
    <sheet name="2024 reale" sheetId="30" r:id="rId5"/>
    <sheet name="2025 reale" sheetId="33" r:id="rId6"/>
    <sheet name="2026 reale" sheetId="36" r:id="rId7"/>
    <sheet name="2027 bozza" sheetId="37" r:id="rId8"/>
    <sheet name="2028 bozza" sheetId="38" r:id="rId9"/>
    <sheet name="Studi" sheetId="35" r:id="rId10"/>
    <sheet name="Studio" sheetId="34" r:id="rId11"/>
    <sheet name="Reddito medio inar" sheetId="31" r:id="rId12"/>
    <sheet name="Analisi complessiva lavoro" sheetId="32" r:id="rId13"/>
  </sheets>
  <definedNames>
    <definedName name="_xlnm._FilterDatabase" localSheetId="0" hidden="1">'2021 reale'!$B$4:$P$25</definedName>
    <definedName name="_xlnm._FilterDatabase" localSheetId="1" hidden="1">'2022 reale'!$C$4:$M$28</definedName>
    <definedName name="_xlnm._FilterDatabase" localSheetId="2" hidden="1">'2023 reale'!$C$4:$M$24</definedName>
    <definedName name="_xlnm._FilterDatabase" localSheetId="4" hidden="1">'2024 reale'!$C$4:$M$23</definedName>
    <definedName name="_xlnm._FilterDatabase" localSheetId="5" hidden="1">'2025 reale'!$C$3:$J$24</definedName>
    <definedName name="_xlnm._FilterDatabase" localSheetId="6" hidden="1">'2026 reale'!$C$3:$K$18</definedName>
    <definedName name="_xlnm._FilterDatabase" localSheetId="7" hidden="1">'2027 bozza'!$C$3:$K$18</definedName>
    <definedName name="_xlnm._FilterDatabase" localSheetId="8" hidden="1">'2028 bozza'!$C$3:$K$18</definedName>
    <definedName name="_xlnm._FilterDatabase" localSheetId="3" hidden="1">Linea!$B$4:$P$24</definedName>
    <definedName name="_xlnm._FilterDatabase" localSheetId="9" hidden="1">Studi!$C$3:$K$18</definedName>
    <definedName name="_xlnm._FilterDatabase" localSheetId="10" hidden="1">Studio!$C$4:$M$23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36" l="1"/>
  <c r="Q19" i="30"/>
  <c r="Q18" i="30"/>
  <c r="T14" i="36"/>
  <c r="T16" i="36" s="1"/>
  <c r="H26" i="33"/>
  <c r="S24" i="33" s="1"/>
  <c r="F26" i="33"/>
  <c r="J26" i="33"/>
  <c r="S23" i="33"/>
  <c r="Q22" i="30"/>
  <c r="F15" i="32"/>
  <c r="E13" i="32"/>
  <c r="W25" i="36"/>
  <c r="T24" i="30"/>
  <c r="E16" i="32" l="1"/>
  <c r="M9" i="36"/>
  <c r="G9" i="36" s="1"/>
  <c r="M10" i="36"/>
  <c r="M11" i="36"/>
  <c r="G11" i="36" s="1"/>
  <c r="M12" i="36"/>
  <c r="G12" i="36" s="1"/>
  <c r="M13" i="36"/>
  <c r="G13" i="36" s="1"/>
  <c r="M14" i="36"/>
  <c r="G14" i="36" s="1"/>
  <c r="M15" i="36"/>
  <c r="G15" i="36" s="1"/>
  <c r="M16" i="36"/>
  <c r="G16" i="36" s="1"/>
  <c r="G10" i="36" l="1"/>
  <c r="M20" i="36"/>
  <c r="I16" i="36"/>
  <c r="K16" i="36"/>
  <c r="I12" i="36"/>
  <c r="K12" i="36"/>
  <c r="I15" i="36"/>
  <c r="K15" i="36"/>
  <c r="I11" i="36"/>
  <c r="K11" i="36" s="1"/>
  <c r="I14" i="36"/>
  <c r="K14" i="36"/>
  <c r="I10" i="36"/>
  <c r="K10" i="36"/>
  <c r="I13" i="36"/>
  <c r="K13" i="36"/>
  <c r="I9" i="36"/>
  <c r="K9" i="36"/>
  <c r="E19" i="32"/>
  <c r="E17" i="32"/>
  <c r="H17" i="32"/>
  <c r="W26" i="38"/>
  <c r="X31" i="38" s="1"/>
  <c r="V26" i="38"/>
  <c r="N20" i="38"/>
  <c r="I16" i="38"/>
  <c r="K16" i="38" s="1"/>
  <c r="M15" i="38"/>
  <c r="G15" i="38"/>
  <c r="I15" i="38" s="1"/>
  <c r="K15" i="38" s="1"/>
  <c r="M14" i="38"/>
  <c r="G14" i="38" s="1"/>
  <c r="M13" i="38"/>
  <c r="G13" i="38"/>
  <c r="M12" i="38"/>
  <c r="G12" i="38"/>
  <c r="M11" i="38"/>
  <c r="G11" i="38"/>
  <c r="M10" i="38"/>
  <c r="G10" i="38"/>
  <c r="M9" i="38"/>
  <c r="G9" i="38"/>
  <c r="M8" i="38"/>
  <c r="G8" i="38"/>
  <c r="M7" i="38"/>
  <c r="G7" i="38"/>
  <c r="M6" i="38"/>
  <c r="G6" i="38"/>
  <c r="M5" i="38"/>
  <c r="G5" i="38"/>
  <c r="M4" i="38"/>
  <c r="M20" i="38" s="1"/>
  <c r="G4" i="38"/>
  <c r="G21" i="38" s="1"/>
  <c r="T13" i="38" s="1"/>
  <c r="T14" i="38" s="1"/>
  <c r="T16" i="38" s="1"/>
  <c r="M6" i="36"/>
  <c r="G6" i="36" s="1"/>
  <c r="I6" i="36" s="1"/>
  <c r="M7" i="36"/>
  <c r="I8" i="36"/>
  <c r="K8" i="36" s="1"/>
  <c r="M5" i="36"/>
  <c r="H21" i="33"/>
  <c r="X31" i="37"/>
  <c r="W26" i="37"/>
  <c r="V26" i="37"/>
  <c r="N20" i="37"/>
  <c r="I16" i="37"/>
  <c r="K16" i="37" s="1"/>
  <c r="M15" i="37"/>
  <c r="I15" i="37"/>
  <c r="K15" i="37" s="1"/>
  <c r="G15" i="37"/>
  <c r="M14" i="37"/>
  <c r="G14" i="37" s="1"/>
  <c r="M13" i="37"/>
  <c r="G13" i="37" s="1"/>
  <c r="M12" i="37"/>
  <c r="G12" i="37" s="1"/>
  <c r="M11" i="37"/>
  <c r="G11" i="37" s="1"/>
  <c r="M10" i="37"/>
  <c r="G10" i="37" s="1"/>
  <c r="M9" i="37"/>
  <c r="G9" i="37" s="1"/>
  <c r="M8" i="37"/>
  <c r="G8" i="37" s="1"/>
  <c r="M7" i="37"/>
  <c r="G7" i="37" s="1"/>
  <c r="M6" i="37"/>
  <c r="G6" i="37" s="1"/>
  <c r="M5" i="37"/>
  <c r="G5" i="37" s="1"/>
  <c r="M4" i="37"/>
  <c r="M20" i="37" s="1"/>
  <c r="G5" i="36"/>
  <c r="G7" i="36"/>
  <c r="I5" i="36"/>
  <c r="I7" i="36"/>
  <c r="K7" i="36" s="1"/>
  <c r="Y38" i="34"/>
  <c r="U38" i="34"/>
  <c r="V26" i="36"/>
  <c r="N20" i="36"/>
  <c r="M4" i="36"/>
  <c r="G4" i="36" s="1"/>
  <c r="I4" i="36" s="1"/>
  <c r="K4" i="36" s="1"/>
  <c r="M26" i="33"/>
  <c r="R17" i="30"/>
  <c r="E23" i="32"/>
  <c r="D23" i="32" s="1"/>
  <c r="Y36" i="34"/>
  <c r="E27" i="32"/>
  <c r="D27" i="32" s="1"/>
  <c r="E25" i="32"/>
  <c r="D25" i="32" s="1"/>
  <c r="Y39" i="34"/>
  <c r="L15" i="33"/>
  <c r="Y37" i="34"/>
  <c r="U20" i="33"/>
  <c r="O20" i="35"/>
  <c r="M20" i="35"/>
  <c r="S37" i="35"/>
  <c r="S35" i="35"/>
  <c r="T34" i="35"/>
  <c r="W30" i="35"/>
  <c r="U24" i="35"/>
  <c r="N20" i="35"/>
  <c r="V23" i="35"/>
  <c r="M15" i="35"/>
  <c r="M14" i="35"/>
  <c r="M13" i="35"/>
  <c r="I13" i="35" s="1"/>
  <c r="K13" i="35" s="1"/>
  <c r="M12" i="35"/>
  <c r="I12" i="35"/>
  <c r="K12" i="35" s="1"/>
  <c r="M11" i="35"/>
  <c r="M10" i="35"/>
  <c r="M9" i="35"/>
  <c r="M8" i="35"/>
  <c r="I8" i="35"/>
  <c r="K8" i="35" s="1"/>
  <c r="M7" i="35"/>
  <c r="I7" i="35"/>
  <c r="K7" i="35" s="1"/>
  <c r="M6" i="35"/>
  <c r="I6" i="35"/>
  <c r="M5" i="35"/>
  <c r="M4" i="35"/>
  <c r="U37" i="34"/>
  <c r="E15" i="32" l="1"/>
  <c r="D17" i="32"/>
  <c r="T23" i="38"/>
  <c r="K14" i="38"/>
  <c r="I14" i="38"/>
  <c r="K11" i="38"/>
  <c r="M21" i="38"/>
  <c r="I4" i="38"/>
  <c r="I5" i="38"/>
  <c r="K5" i="38" s="1"/>
  <c r="I6" i="38"/>
  <c r="K6" i="38" s="1"/>
  <c r="I7" i="38"/>
  <c r="K7" i="38" s="1"/>
  <c r="I8" i="38"/>
  <c r="K8" i="38" s="1"/>
  <c r="I9" i="38"/>
  <c r="K9" i="38" s="1"/>
  <c r="I10" i="38"/>
  <c r="K10" i="38" s="1"/>
  <c r="I11" i="38"/>
  <c r="I12" i="38"/>
  <c r="K12" i="38" s="1"/>
  <c r="I13" i="38"/>
  <c r="K13" i="38" s="1"/>
  <c r="G20" i="38"/>
  <c r="G20" i="36"/>
  <c r="I9" i="37"/>
  <c r="K9" i="37" s="1"/>
  <c r="I10" i="37"/>
  <c r="K10" i="37" s="1"/>
  <c r="I14" i="37"/>
  <c r="K14" i="37"/>
  <c r="I11" i="37"/>
  <c r="K11" i="37" s="1"/>
  <c r="I5" i="37"/>
  <c r="K5" i="37" s="1"/>
  <c r="I13" i="37"/>
  <c r="K13" i="37" s="1"/>
  <c r="I6" i="37"/>
  <c r="K6" i="37" s="1"/>
  <c r="I7" i="37"/>
  <c r="K7" i="37" s="1"/>
  <c r="I8" i="37"/>
  <c r="K8" i="37" s="1"/>
  <c r="I12" i="37"/>
  <c r="K12" i="37" s="1"/>
  <c r="M21" i="37"/>
  <c r="G4" i="37"/>
  <c r="G21" i="36"/>
  <c r="K6" i="36"/>
  <c r="K5" i="36"/>
  <c r="M21" i="36"/>
  <c r="H18" i="33"/>
  <c r="J18" i="33" s="1"/>
  <c r="H17" i="33"/>
  <c r="J17" i="33" s="1"/>
  <c r="I5" i="35"/>
  <c r="K5" i="35" s="1"/>
  <c r="I9" i="35"/>
  <c r="K9" i="35" s="1"/>
  <c r="I4" i="35"/>
  <c r="K4" i="35" s="1"/>
  <c r="K6" i="35"/>
  <c r="G21" i="35"/>
  <c r="S13" i="35" s="1"/>
  <c r="S14" i="35" s="1"/>
  <c r="S16" i="35" s="1"/>
  <c r="I11" i="35"/>
  <c r="K11" i="35" s="1"/>
  <c r="I14" i="35"/>
  <c r="K14" i="35" s="1"/>
  <c r="I10" i="35"/>
  <c r="I15" i="35"/>
  <c r="K15" i="35" s="1"/>
  <c r="S34" i="35"/>
  <c r="S36" i="35" s="1"/>
  <c r="G20" i="35"/>
  <c r="E12" i="32"/>
  <c r="F12" i="32"/>
  <c r="Z36" i="34"/>
  <c r="I20" i="38" l="1"/>
  <c r="T24" i="38" s="1"/>
  <c r="T26" i="38"/>
  <c r="T19" i="38" s="1"/>
  <c r="V28" i="38" s="1"/>
  <c r="H19" i="32" s="1"/>
  <c r="I19" i="32" s="1"/>
  <c r="K4" i="38"/>
  <c r="K20" i="38" s="1"/>
  <c r="I17" i="32"/>
  <c r="D19" i="32"/>
  <c r="G21" i="37"/>
  <c r="T13" i="37" s="1"/>
  <c r="T14" i="37" s="1"/>
  <c r="T16" i="37" s="1"/>
  <c r="G20" i="37"/>
  <c r="I4" i="37"/>
  <c r="I20" i="37" s="1"/>
  <c r="T24" i="37" s="1"/>
  <c r="I20" i="35"/>
  <c r="S22" i="35" s="1"/>
  <c r="V22" i="35" s="1"/>
  <c r="K10" i="35"/>
  <c r="K20" i="35" s="1"/>
  <c r="T22" i="35"/>
  <c r="S21" i="35" s="1"/>
  <c r="S33" i="35"/>
  <c r="L5" i="12"/>
  <c r="K19" i="32" l="1"/>
  <c r="J19" i="32"/>
  <c r="K17" i="32"/>
  <c r="J17" i="32"/>
  <c r="T29" i="38"/>
  <c r="T31" i="38" s="1"/>
  <c r="T32" i="38" s="1"/>
  <c r="Y31" i="38"/>
  <c r="I20" i="36"/>
  <c r="T24" i="36" s="1"/>
  <c r="W24" i="36" s="1"/>
  <c r="K4" i="37"/>
  <c r="K20" i="37" s="1"/>
  <c r="T23" i="37"/>
  <c r="T26" i="37" s="1"/>
  <c r="T19" i="37" s="1"/>
  <c r="K20" i="36"/>
  <c r="T13" i="36"/>
  <c r="V21" i="35"/>
  <c r="V24" i="35" s="1"/>
  <c r="W29" i="35" s="1"/>
  <c r="S24" i="35"/>
  <c r="S17" i="35" s="1"/>
  <c r="S27" i="35" s="1"/>
  <c r="S32" i="35"/>
  <c r="U36" i="35"/>
  <c r="T19" i="30"/>
  <c r="F12" i="33"/>
  <c r="H12" i="33" s="1"/>
  <c r="J12" i="33" s="1"/>
  <c r="L13" i="33"/>
  <c r="F13" i="33" s="1"/>
  <c r="L14" i="33"/>
  <c r="F15" i="33"/>
  <c r="L16" i="33"/>
  <c r="F16" i="33" s="1"/>
  <c r="H16" i="33" s="1"/>
  <c r="L19" i="33"/>
  <c r="L20" i="33"/>
  <c r="F20" i="33" s="1"/>
  <c r="J21" i="33"/>
  <c r="L5" i="33"/>
  <c r="L6" i="33"/>
  <c r="L8" i="33"/>
  <c r="L9" i="33"/>
  <c r="L11" i="33"/>
  <c r="L4" i="33"/>
  <c r="Z38" i="34"/>
  <c r="Z39" i="34"/>
  <c r="Z37" i="34"/>
  <c r="V38" i="34"/>
  <c r="X37" i="34"/>
  <c r="F11" i="33"/>
  <c r="H11" i="33" s="1"/>
  <c r="E4" i="31"/>
  <c r="S20" i="30"/>
  <c r="S22" i="30"/>
  <c r="V39" i="34"/>
  <c r="S39" i="34"/>
  <c r="S38" i="34"/>
  <c r="P36" i="34"/>
  <c r="S37" i="34"/>
  <c r="O37" i="34"/>
  <c r="P37" i="34" s="1"/>
  <c r="S36" i="34"/>
  <c r="E11" i="32"/>
  <c r="D11" i="32" s="1"/>
  <c r="E9" i="32"/>
  <c r="V36" i="34"/>
  <c r="K5" i="34"/>
  <c r="S24" i="24"/>
  <c r="Q28" i="26"/>
  <c r="H10" i="33"/>
  <c r="J10" i="33" s="1"/>
  <c r="F9" i="33"/>
  <c r="H9" i="33" s="1"/>
  <c r="F8" i="33"/>
  <c r="H8" i="33" s="1"/>
  <c r="I22" i="30"/>
  <c r="M19" i="30"/>
  <c r="F6" i="33"/>
  <c r="F4" i="33"/>
  <c r="F5" i="33"/>
  <c r="H5" i="33" s="1"/>
  <c r="E5" i="31"/>
  <c r="H39" i="34"/>
  <c r="H37" i="34"/>
  <c r="I36" i="34"/>
  <c r="F16" i="34"/>
  <c r="F15" i="34"/>
  <c r="F14" i="34"/>
  <c r="F13" i="34"/>
  <c r="F12" i="34"/>
  <c r="F11" i="34"/>
  <c r="S10" i="34"/>
  <c r="F10" i="34"/>
  <c r="F8" i="34"/>
  <c r="F7" i="34"/>
  <c r="F6" i="34"/>
  <c r="S39" i="33"/>
  <c r="S37" i="33"/>
  <c r="T36" i="33"/>
  <c r="U26" i="33"/>
  <c r="V25" i="33"/>
  <c r="H7" i="33"/>
  <c r="J7" i="33" s="1"/>
  <c r="K9" i="30"/>
  <c r="S10" i="30"/>
  <c r="F20" i="30"/>
  <c r="K20" i="30"/>
  <c r="M20" i="30"/>
  <c r="F21" i="30"/>
  <c r="K21" i="30"/>
  <c r="M21" i="30"/>
  <c r="K22" i="30"/>
  <c r="M22" i="30"/>
  <c r="Q29" i="26"/>
  <c r="H7" i="32"/>
  <c r="R28" i="26"/>
  <c r="E5" i="32"/>
  <c r="R21" i="26"/>
  <c r="M18" i="30"/>
  <c r="I18" i="30"/>
  <c r="F15" i="30"/>
  <c r="I15" i="30"/>
  <c r="K15" i="30"/>
  <c r="M15" i="30"/>
  <c r="F16" i="30"/>
  <c r="K16" i="30"/>
  <c r="M16" i="30"/>
  <c r="F17" i="30"/>
  <c r="K17" i="30"/>
  <c r="M17" i="30"/>
  <c r="F18" i="30"/>
  <c r="K18" i="30"/>
  <c r="F19" i="30"/>
  <c r="K19" i="30"/>
  <c r="T26" i="26"/>
  <c r="T20" i="26"/>
  <c r="H36" i="30"/>
  <c r="H38" i="30"/>
  <c r="I35" i="30"/>
  <c r="J37" i="26"/>
  <c r="H33" i="26"/>
  <c r="H34" i="26"/>
  <c r="H38" i="26"/>
  <c r="H37" i="26"/>
  <c r="H36" i="26"/>
  <c r="H35" i="26"/>
  <c r="I35" i="26"/>
  <c r="H34" i="24"/>
  <c r="H33" i="24"/>
  <c r="H38" i="24"/>
  <c r="H37" i="24"/>
  <c r="H36" i="24"/>
  <c r="H35" i="24"/>
  <c r="I35" i="24"/>
  <c r="U24" i="30"/>
  <c r="M12" i="26"/>
  <c r="M13" i="26"/>
  <c r="M14" i="26"/>
  <c r="M15" i="26"/>
  <c r="M16" i="26"/>
  <c r="M17" i="26"/>
  <c r="T25" i="30"/>
  <c r="I27" i="26"/>
  <c r="Q16" i="26"/>
  <c r="Q17" i="26"/>
  <c r="Q19" i="26"/>
  <c r="R23" i="26"/>
  <c r="Q23" i="26"/>
  <c r="T23" i="26"/>
  <c r="K6" i="26"/>
  <c r="K7" i="26"/>
  <c r="K8" i="26"/>
  <c r="K9" i="26"/>
  <c r="K10" i="26"/>
  <c r="K26" i="26"/>
  <c r="Q24" i="26"/>
  <c r="T24" i="26"/>
  <c r="T25" i="26"/>
  <c r="Q26" i="26"/>
  <c r="Q20" i="26"/>
  <c r="S20" i="26"/>
  <c r="F6" i="31"/>
  <c r="F5" i="31"/>
  <c r="Q28" i="24"/>
  <c r="W26" i="12"/>
  <c r="E3" i="32"/>
  <c r="D3" i="32" s="1"/>
  <c r="E10" i="32"/>
  <c r="E8" i="32"/>
  <c r="E7" i="32"/>
  <c r="E6" i="32"/>
  <c r="K5" i="30"/>
  <c r="K6" i="30"/>
  <c r="K7" i="30"/>
  <c r="K8" i="30"/>
  <c r="M8" i="30"/>
  <c r="K10" i="30"/>
  <c r="M10" i="30"/>
  <c r="K11" i="30"/>
  <c r="M11" i="30"/>
  <c r="K12" i="30"/>
  <c r="M12" i="30"/>
  <c r="O12" i="30"/>
  <c r="K13" i="30"/>
  <c r="K14" i="30"/>
  <c r="M9" i="30"/>
  <c r="F10" i="30"/>
  <c r="F11" i="30"/>
  <c r="F12" i="30"/>
  <c r="F13" i="30"/>
  <c r="M13" i="30"/>
  <c r="F14" i="30"/>
  <c r="M14" i="30"/>
  <c r="F8" i="30"/>
  <c r="M7" i="30"/>
  <c r="F7" i="30"/>
  <c r="M6" i="30"/>
  <c r="F6" i="30"/>
  <c r="F17" i="26"/>
  <c r="I26" i="30"/>
  <c r="Q15" i="30"/>
  <c r="Q16" i="30"/>
  <c r="M5" i="30"/>
  <c r="U5" i="26"/>
  <c r="Q24" i="24"/>
  <c r="Q23" i="24"/>
  <c r="S26" i="26"/>
  <c r="O13" i="26"/>
  <c r="L13" i="16"/>
  <c r="I13" i="26"/>
  <c r="I14" i="26"/>
  <c r="F12" i="26"/>
  <c r="F13" i="26"/>
  <c r="F14" i="26"/>
  <c r="F9" i="24"/>
  <c r="K9" i="24"/>
  <c r="M9" i="24"/>
  <c r="F10" i="24"/>
  <c r="K10" i="24"/>
  <c r="M10" i="24"/>
  <c r="F11" i="24"/>
  <c r="K11" i="24"/>
  <c r="M11" i="24"/>
  <c r="F12" i="24"/>
  <c r="K12" i="24"/>
  <c r="M12" i="24"/>
  <c r="K13" i="24"/>
  <c r="M13" i="24"/>
  <c r="F14" i="24"/>
  <c r="K14" i="24"/>
  <c r="M14" i="24"/>
  <c r="F15" i="24"/>
  <c r="K15" i="24"/>
  <c r="M15" i="24"/>
  <c r="K16" i="24"/>
  <c r="M16" i="24"/>
  <c r="F17" i="24"/>
  <c r="K17" i="24"/>
  <c r="M17" i="24"/>
  <c r="F18" i="24"/>
  <c r="K18" i="24"/>
  <c r="M18" i="24"/>
  <c r="F19" i="24"/>
  <c r="K19" i="24"/>
  <c r="M19" i="24"/>
  <c r="F20" i="24"/>
  <c r="K20" i="24"/>
  <c r="M20" i="24"/>
  <c r="F21" i="24"/>
  <c r="K21" i="24"/>
  <c r="M21" i="24"/>
  <c r="T29" i="24"/>
  <c r="Z24" i="12"/>
  <c r="M10" i="26"/>
  <c r="M11" i="26"/>
  <c r="K5" i="26"/>
  <c r="I26" i="26"/>
  <c r="F16" i="26"/>
  <c r="F15" i="26"/>
  <c r="F11" i="26"/>
  <c r="F10" i="26"/>
  <c r="M9" i="26"/>
  <c r="F9" i="26"/>
  <c r="M8" i="26"/>
  <c r="F8" i="26"/>
  <c r="M7" i="26"/>
  <c r="F7" i="26"/>
  <c r="M6" i="26"/>
  <c r="F6" i="26"/>
  <c r="I31" i="24"/>
  <c r="Q20" i="24"/>
  <c r="Q21" i="24"/>
  <c r="AA34" i="12"/>
  <c r="I30" i="24"/>
  <c r="AG5" i="12"/>
  <c r="AH5" i="12"/>
  <c r="AG6" i="12"/>
  <c r="AH6" i="12"/>
  <c r="Z6" i="12"/>
  <c r="AA6" i="12" s="1"/>
  <c r="AG7" i="12"/>
  <c r="AH7" i="12"/>
  <c r="Z7" i="12"/>
  <c r="AA7" i="12"/>
  <c r="AG8" i="12"/>
  <c r="AH8" i="12"/>
  <c r="Z8" i="12"/>
  <c r="AG9" i="12"/>
  <c r="AH9" i="12"/>
  <c r="AG11" i="12"/>
  <c r="AH11" i="12"/>
  <c r="AG12" i="12"/>
  <c r="AH12" i="12"/>
  <c r="AG13" i="12"/>
  <c r="AH13" i="12"/>
  <c r="AG14" i="12"/>
  <c r="AH14" i="12"/>
  <c r="AG15" i="12"/>
  <c r="AH15" i="12"/>
  <c r="AG16" i="12"/>
  <c r="AH16" i="12"/>
  <c r="AF27" i="12"/>
  <c r="AG27" i="12"/>
  <c r="AH27" i="12"/>
  <c r="V27" i="12"/>
  <c r="K5" i="24"/>
  <c r="M5" i="24"/>
  <c r="K6" i="24"/>
  <c r="M6" i="24"/>
  <c r="AB5" i="16"/>
  <c r="L5" i="16"/>
  <c r="F8" i="24"/>
  <c r="F7" i="24"/>
  <c r="H17" i="12"/>
  <c r="H18" i="12"/>
  <c r="H19" i="12"/>
  <c r="N19" i="12"/>
  <c r="P19" i="12"/>
  <c r="N18" i="12"/>
  <c r="P18" i="12"/>
  <c r="N10" i="12"/>
  <c r="L10" i="12"/>
  <c r="H10" i="12"/>
  <c r="K7" i="24"/>
  <c r="M7" i="24"/>
  <c r="K8" i="24"/>
  <c r="M8" i="24"/>
  <c r="Y6" i="16"/>
  <c r="Y7" i="16"/>
  <c r="Y8" i="16"/>
  <c r="Y9" i="16"/>
  <c r="Y10" i="16"/>
  <c r="Y11" i="16"/>
  <c r="Y12" i="16"/>
  <c r="Y13" i="16"/>
  <c r="Y14" i="16"/>
  <c r="Y15" i="16"/>
  <c r="Y16" i="16"/>
  <c r="Y5" i="16"/>
  <c r="AA6" i="16"/>
  <c r="AA5" i="16"/>
  <c r="Z5" i="16"/>
  <c r="J25" i="16"/>
  <c r="E25" i="16"/>
  <c r="J24" i="16"/>
  <c r="E24" i="16"/>
  <c r="J23" i="16"/>
  <c r="E23" i="16"/>
  <c r="J22" i="16"/>
  <c r="E22" i="16"/>
  <c r="J21" i="16"/>
  <c r="E21" i="16"/>
  <c r="J20" i="16"/>
  <c r="E20" i="16"/>
  <c r="J19" i="16"/>
  <c r="E19" i="16"/>
  <c r="E18" i="16"/>
  <c r="E17" i="16"/>
  <c r="W16" i="16"/>
  <c r="X16" i="16"/>
  <c r="H16" i="16"/>
  <c r="E16" i="16"/>
  <c r="W15" i="16"/>
  <c r="X15" i="16"/>
  <c r="AB15" i="16"/>
  <c r="H15" i="16"/>
  <c r="E15" i="16"/>
  <c r="W14" i="16"/>
  <c r="X14" i="16"/>
  <c r="AB14" i="16"/>
  <c r="H14" i="16"/>
  <c r="E14" i="16"/>
  <c r="W13" i="16"/>
  <c r="X13" i="16"/>
  <c r="H13" i="16"/>
  <c r="E13" i="16"/>
  <c r="W12" i="16"/>
  <c r="X12" i="16"/>
  <c r="H12" i="16"/>
  <c r="E12" i="16"/>
  <c r="W11" i="16"/>
  <c r="X11" i="16"/>
  <c r="AB11" i="16"/>
  <c r="S11" i="16"/>
  <c r="H11" i="16"/>
  <c r="E11" i="16"/>
  <c r="W10" i="16"/>
  <c r="X10" i="16"/>
  <c r="AB10" i="16"/>
  <c r="T10" i="16"/>
  <c r="H10" i="16"/>
  <c r="E10" i="16"/>
  <c r="W9" i="16"/>
  <c r="X9" i="16"/>
  <c r="H9" i="16"/>
  <c r="E9" i="16"/>
  <c r="W8" i="16"/>
  <c r="X8" i="16"/>
  <c r="AB8" i="16"/>
  <c r="L8" i="16"/>
  <c r="H8" i="16"/>
  <c r="E8" i="16"/>
  <c r="W7" i="16"/>
  <c r="X7" i="16"/>
  <c r="AB7" i="16"/>
  <c r="L7" i="16"/>
  <c r="H7" i="16"/>
  <c r="E7" i="16"/>
  <c r="Z6" i="16"/>
  <c r="W6" i="16"/>
  <c r="X6" i="16"/>
  <c r="AB6" i="16"/>
  <c r="H6" i="16"/>
  <c r="E6" i="16"/>
  <c r="W5" i="16"/>
  <c r="X5" i="16"/>
  <c r="H5" i="16"/>
  <c r="E5" i="16"/>
  <c r="AB16" i="16"/>
  <c r="AB13" i="16"/>
  <c r="AB12" i="16"/>
  <c r="AB9" i="16"/>
  <c r="L9" i="16"/>
  <c r="L16" i="16"/>
  <c r="L6" i="16"/>
  <c r="N6" i="16"/>
  <c r="P6" i="16"/>
  <c r="L12" i="16"/>
  <c r="N12" i="16"/>
  <c r="P12" i="16"/>
  <c r="L10" i="16"/>
  <c r="N10" i="16"/>
  <c r="P10" i="16"/>
  <c r="L11" i="16"/>
  <c r="N13" i="16"/>
  <c r="P13" i="16"/>
  <c r="P26" i="16"/>
  <c r="L14" i="16"/>
  <c r="N14" i="16"/>
  <c r="P14" i="16"/>
  <c r="L15" i="16"/>
  <c r="N15" i="16"/>
  <c r="P15" i="16"/>
  <c r="N5" i="16"/>
  <c r="P5" i="16"/>
  <c r="N8" i="16"/>
  <c r="P8" i="16"/>
  <c r="N9" i="16"/>
  <c r="P9" i="16"/>
  <c r="N16" i="16"/>
  <c r="P16" i="16"/>
  <c r="N11" i="16"/>
  <c r="P11" i="16"/>
  <c r="N7" i="16"/>
  <c r="P7" i="16"/>
  <c r="U11" i="12"/>
  <c r="L8" i="12"/>
  <c r="N8" i="12"/>
  <c r="P8" i="12"/>
  <c r="N11" i="12"/>
  <c r="P11" i="12"/>
  <c r="N12" i="12"/>
  <c r="L13" i="12"/>
  <c r="N13" i="12"/>
  <c r="L14" i="12"/>
  <c r="N14" i="12"/>
  <c r="P14" i="12"/>
  <c r="N15" i="12"/>
  <c r="N16" i="12"/>
  <c r="N17" i="12"/>
  <c r="P17" i="12"/>
  <c r="L6" i="12"/>
  <c r="N6" i="12" s="1"/>
  <c r="N5" i="12"/>
  <c r="P5" i="12"/>
  <c r="T12" i="12"/>
  <c r="AB17" i="16"/>
  <c r="L27" i="16"/>
  <c r="S16" i="16"/>
  <c r="L26" i="16"/>
  <c r="N26" i="16"/>
  <c r="J26" i="12"/>
  <c r="E26" i="12"/>
  <c r="J25" i="12"/>
  <c r="E25" i="12"/>
  <c r="J24" i="12"/>
  <c r="E24" i="12"/>
  <c r="J23" i="12"/>
  <c r="E23" i="12"/>
  <c r="J22" i="12"/>
  <c r="E22" i="12"/>
  <c r="J21" i="12"/>
  <c r="E21" i="12"/>
  <c r="E20" i="12"/>
  <c r="E19" i="12"/>
  <c r="E18" i="12"/>
  <c r="E17" i="12"/>
  <c r="H16" i="12"/>
  <c r="E16" i="12"/>
  <c r="H15" i="12"/>
  <c r="E15" i="12"/>
  <c r="H14" i="12"/>
  <c r="E14" i="12"/>
  <c r="H13" i="12"/>
  <c r="E13" i="12"/>
  <c r="H12" i="12"/>
  <c r="E12" i="12"/>
  <c r="H11" i="12"/>
  <c r="E11" i="12"/>
  <c r="H9" i="12"/>
  <c r="E9" i="12"/>
  <c r="H8" i="12"/>
  <c r="E8" i="12"/>
  <c r="H7" i="12"/>
  <c r="E7" i="12"/>
  <c r="H6" i="12"/>
  <c r="E6" i="12"/>
  <c r="Z5" i="12"/>
  <c r="AA5" i="12" s="1"/>
  <c r="H5" i="12"/>
  <c r="E5" i="12"/>
  <c r="L7" i="12"/>
  <c r="N7" i="12"/>
  <c r="P7" i="12"/>
  <c r="P12" i="12"/>
  <c r="P15" i="12"/>
  <c r="P16" i="12"/>
  <c r="P9" i="12"/>
  <c r="M5" i="26"/>
  <c r="S30" i="24"/>
  <c r="M30" i="24"/>
  <c r="K30" i="24"/>
  <c r="T28" i="24"/>
  <c r="L28" i="12"/>
  <c r="T17" i="12" s="1"/>
  <c r="L27" i="12"/>
  <c r="P10" i="12"/>
  <c r="P13" i="12"/>
  <c r="S17" i="16"/>
  <c r="S19" i="16"/>
  <c r="S24" i="16"/>
  <c r="M26" i="26"/>
  <c r="S20" i="16"/>
  <c r="S23" i="16"/>
  <c r="S26" i="16"/>
  <c r="S33" i="16"/>
  <c r="S31" i="16"/>
  <c r="T27" i="16"/>
  <c r="S32" i="16"/>
  <c r="S28" i="16"/>
  <c r="S27" i="16"/>
  <c r="S34" i="16"/>
  <c r="S29" i="16"/>
  <c r="T28" i="16"/>
  <c r="U33" i="16"/>
  <c r="S35" i="16"/>
  <c r="P32" i="16"/>
  <c r="T24" i="24"/>
  <c r="Q27" i="24"/>
  <c r="Q30" i="24"/>
  <c r="Q33" i="24"/>
  <c r="Q32" i="24"/>
  <c r="Q35" i="24"/>
  <c r="Q36" i="24"/>
  <c r="T27" i="24"/>
  <c r="T30" i="24"/>
  <c r="T35" i="24"/>
  <c r="R32" i="24"/>
  <c r="H9" i="32"/>
  <c r="Q31" i="26"/>
  <c r="Q32" i="26"/>
  <c r="M25" i="30"/>
  <c r="H35" i="30"/>
  <c r="H37" i="30"/>
  <c r="I25" i="30"/>
  <c r="H34" i="30"/>
  <c r="H33" i="30"/>
  <c r="T31" i="26"/>
  <c r="K25" i="30"/>
  <c r="Q23" i="30"/>
  <c r="U23" i="30"/>
  <c r="U31" i="30"/>
  <c r="J37" i="30"/>
  <c r="I9" i="32" l="1"/>
  <c r="D7" i="32"/>
  <c r="D5" i="32"/>
  <c r="D9" i="32"/>
  <c r="T28" i="38"/>
  <c r="O26" i="37"/>
  <c r="V28" i="37"/>
  <c r="T29" i="37"/>
  <c r="T31" i="37" s="1"/>
  <c r="T32" i="37" s="1"/>
  <c r="Y31" i="37"/>
  <c r="T23" i="36"/>
  <c r="W23" i="36" s="1"/>
  <c r="F19" i="33"/>
  <c r="L27" i="33"/>
  <c r="H4" i="33"/>
  <c r="J4" i="33" s="1"/>
  <c r="I7" i="32"/>
  <c r="S29" i="35"/>
  <c r="S30" i="35" s="1"/>
  <c r="S26" i="35"/>
  <c r="U26" i="35"/>
  <c r="X29" i="35"/>
  <c r="X30" i="35" s="1"/>
  <c r="H19" i="33"/>
  <c r="J19" i="33" s="1"/>
  <c r="F14" i="33"/>
  <c r="F27" i="33" s="1"/>
  <c r="S13" i="33" s="1"/>
  <c r="S14" i="33" s="1"/>
  <c r="S16" i="33" s="1"/>
  <c r="T24" i="33" s="1"/>
  <c r="T26" i="33" s="1"/>
  <c r="L26" i="33"/>
  <c r="P6" i="12"/>
  <c r="P27" i="12" s="1"/>
  <c r="N27" i="12"/>
  <c r="T25" i="12" s="1"/>
  <c r="W25" i="12" s="1"/>
  <c r="T20" i="12"/>
  <c r="T18" i="12"/>
  <c r="H20" i="33"/>
  <c r="J20" i="33" s="1"/>
  <c r="J16" i="33"/>
  <c r="H15" i="33"/>
  <c r="J15" i="33" s="1"/>
  <c r="H13" i="33"/>
  <c r="J13" i="33" s="1"/>
  <c r="J9" i="33"/>
  <c r="J8" i="33"/>
  <c r="H6" i="33"/>
  <c r="J6" i="33" s="1"/>
  <c r="J11" i="33"/>
  <c r="J5" i="33"/>
  <c r="Q25" i="30"/>
  <c r="U22" i="30"/>
  <c r="U25" i="30" s="1"/>
  <c r="O38" i="34"/>
  <c r="O39" i="34" s="1"/>
  <c r="M5" i="34"/>
  <c r="R39" i="34"/>
  <c r="U39" i="34"/>
  <c r="X39" i="34" s="1"/>
  <c r="W32" i="33" l="1"/>
  <c r="X32" i="38"/>
  <c r="Y32" i="38" s="1"/>
  <c r="X32" i="37"/>
  <c r="Y32" i="37" s="1"/>
  <c r="O26" i="38"/>
  <c r="K7" i="32"/>
  <c r="J7" i="32"/>
  <c r="K9" i="32"/>
  <c r="J9" i="32"/>
  <c r="T28" i="37"/>
  <c r="W26" i="36"/>
  <c r="T26" i="36"/>
  <c r="O26" i="35"/>
  <c r="S36" i="33"/>
  <c r="S38" i="33" s="1"/>
  <c r="H14" i="33"/>
  <c r="J14" i="33" s="1"/>
  <c r="T21" i="12"/>
  <c r="T24" i="12"/>
  <c r="S35" i="33"/>
  <c r="S34" i="33" s="1"/>
  <c r="V23" i="33"/>
  <c r="R19" i="30"/>
  <c r="V30" i="30"/>
  <c r="V31" i="30" s="1"/>
  <c r="P38" i="34"/>
  <c r="K6" i="34"/>
  <c r="M6" i="34" s="1"/>
  <c r="R37" i="34"/>
  <c r="R38" i="34"/>
  <c r="W20" i="36" l="1"/>
  <c r="X31" i="36" s="1"/>
  <c r="Y31" i="36"/>
  <c r="O26" i="36"/>
  <c r="V28" i="36"/>
  <c r="H15" i="32" s="1"/>
  <c r="I15" i="32" s="1"/>
  <c r="K15" i="32" s="1"/>
  <c r="T29" i="36"/>
  <c r="V24" i="33"/>
  <c r="V26" i="33" s="1"/>
  <c r="E14" i="32"/>
  <c r="D13" i="32" s="1"/>
  <c r="Y33" i="12"/>
  <c r="W24" i="12"/>
  <c r="W27" i="12" s="1"/>
  <c r="T27" i="12"/>
  <c r="T36" i="12" s="1"/>
  <c r="T31" i="12" s="1"/>
  <c r="U31" i="12" s="1"/>
  <c r="U36" i="12" s="1"/>
  <c r="U28" i="12"/>
  <c r="AB34" i="12"/>
  <c r="T34" i="12"/>
  <c r="U34" i="12" s="1"/>
  <c r="T30" i="12"/>
  <c r="T35" i="12"/>
  <c r="U35" i="12" s="1"/>
  <c r="T37" i="12"/>
  <c r="U38" i="33"/>
  <c r="X38" i="34"/>
  <c r="Q28" i="30"/>
  <c r="S27" i="30"/>
  <c r="H11" i="32" s="1"/>
  <c r="I11" i="32" s="1"/>
  <c r="U30" i="30"/>
  <c r="M40" i="34"/>
  <c r="P39" i="34"/>
  <c r="K7" i="34"/>
  <c r="M7" i="34" s="1"/>
  <c r="K11" i="32" l="1"/>
  <c r="J11" i="32"/>
  <c r="T31" i="36"/>
  <c r="T32" i="36" s="1"/>
  <c r="T28" i="36"/>
  <c r="S26" i="33"/>
  <c r="S19" i="33" s="1"/>
  <c r="O36" i="12"/>
  <c r="T38" i="12"/>
  <c r="Q35" i="12"/>
  <c r="T32" i="12"/>
  <c r="T28" i="12"/>
  <c r="U30" i="12"/>
  <c r="U32" i="12" s="1"/>
  <c r="U37" i="12" s="1"/>
  <c r="H3" i="32"/>
  <c r="I3" i="32" s="1"/>
  <c r="J3" i="32" s="1"/>
  <c r="H5" i="32"/>
  <c r="I5" i="32" s="1"/>
  <c r="Q27" i="30"/>
  <c r="O5" i="30" s="1"/>
  <c r="P5" i="30" s="1"/>
  <c r="Q30" i="30"/>
  <c r="Q31" i="30" s="1"/>
  <c r="K8" i="34"/>
  <c r="M8" i="34" s="1"/>
  <c r="U28" i="33" l="1"/>
  <c r="H13" i="32" s="1"/>
  <c r="I13" i="32" s="1"/>
  <c r="V20" i="33"/>
  <c r="W31" i="33" s="1"/>
  <c r="K5" i="32"/>
  <c r="J5" i="32"/>
  <c r="K13" i="32"/>
  <c r="J13" i="32"/>
  <c r="X31" i="33"/>
  <c r="X32" i="33" s="1"/>
  <c r="X32" i="36" s="1"/>
  <c r="Y32" i="36" s="1"/>
  <c r="S29" i="33"/>
  <c r="S28" i="33" s="1"/>
  <c r="N32" i="33"/>
  <c r="K9" i="34"/>
  <c r="S31" i="33" l="1"/>
  <c r="S32" i="33" s="1"/>
  <c r="K10" i="34"/>
  <c r="M10" i="34" s="1"/>
  <c r="M9" i="34"/>
  <c r="K11" i="34" l="1"/>
  <c r="M11" i="34" l="1"/>
  <c r="K12" i="34"/>
  <c r="M12" i="34" s="1"/>
  <c r="O12" i="34" l="1"/>
  <c r="K13" i="34"/>
  <c r="M13" i="34" s="1"/>
  <c r="K14" i="34" l="1"/>
  <c r="M14" i="34" s="1"/>
  <c r="K15" i="34" l="1"/>
  <c r="M15" i="34" s="1"/>
  <c r="I25" i="34"/>
  <c r="H36" i="34"/>
  <c r="H38" i="34" s="1"/>
  <c r="K16" i="34" l="1"/>
  <c r="K25" i="34" s="1"/>
  <c r="Q23" i="34" s="1"/>
  <c r="I26" i="34"/>
  <c r="Q15" i="34" s="1"/>
  <c r="Q16" i="34" s="1"/>
  <c r="Q18" i="34" s="1"/>
  <c r="Q22" i="34" s="1"/>
  <c r="M16" i="34" l="1"/>
  <c r="M25" i="34" s="1"/>
  <c r="Q25" i="34"/>
  <c r="H34" i="34"/>
  <c r="Q19" i="34" l="1"/>
  <c r="S27" i="34" s="1"/>
  <c r="H23" i="32" s="1"/>
  <c r="I23" i="32" s="1"/>
  <c r="J23" i="32" s="1"/>
  <c r="H33" i="34"/>
  <c r="J38" i="34"/>
  <c r="Q28" i="34" l="1"/>
  <c r="Q30" i="34" s="1"/>
  <c r="K23" i="32"/>
  <c r="H25" i="32"/>
  <c r="Q31" i="34" l="1"/>
  <c r="Q32" i="34"/>
  <c r="Q27" i="34"/>
  <c r="O5" i="34" s="1"/>
  <c r="P5" i="34" s="1"/>
  <c r="I25" i="32"/>
  <c r="H27" i="32"/>
  <c r="K25" i="32" l="1"/>
  <c r="J25" i="32"/>
  <c r="I27" i="32"/>
  <c r="J15" i="32" l="1"/>
  <c r="K27" i="32"/>
  <c r="J27" i="32"/>
  <c r="D15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tc={E6448768-44BC-4B68-BBA3-8E2543E38DE7}</author>
  </authors>
  <commentList>
    <comment ref="U20" authorId="0" shapeId="0" xr:uid="{E6448768-44BC-4B68-BBA3-8E2543E38DE7}">
      <text>
        <t>[Threaded comment]
Your version of Excel allows you to read this threaded comment; however, any edits to it will get removed if the file is opened in a newer version of Excel. Learn more: https://go.microsoft.com/fwlink/?linkid=870924
Comment:
    I primi due sono il credito che avevo dal 2024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tc={6E8D73A3-680B-4301-9F6A-C9D30A7868E6}</author>
  </authors>
  <commentList>
    <comment ref="V20" authorId="0" shapeId="0" xr:uid="{6E8D73A3-680B-4301-9F6A-C9D30A7868E6}">
      <text>
        <t>[Threaded comment]
Your version of Excel allows you to read this threaded comment; however, any edits to it will get removed if the file is opened in a newer version of Excel. Learn more: https://go.microsoft.com/fwlink/?linkid=870924
Comment:
    I primi due sono il credito che avevo dal 2024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tc={E28B047B-5D72-448F-84B8-AFA5AE5F9001}</author>
  </authors>
  <commentList>
    <comment ref="V20" authorId="0" shapeId="0" xr:uid="{E28B047B-5D72-448F-84B8-AFA5AE5F9001}">
      <text>
        <t>[Threaded comment]
Your version of Excel allows you to read this threaded comment; however, any edits to it will get removed if the file is opened in a newer version of Excel. Learn more: https://go.microsoft.com/fwlink/?linkid=870924
Comment:
    I primi due sono il credito che avevo dal 2024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tc={15ABA68F-587C-4FBD-ABAF-A86C47E7651F}</author>
  </authors>
  <commentList>
    <comment ref="V20" authorId="0" shapeId="0" xr:uid="{15ABA68F-587C-4FBD-ABAF-A86C47E7651F}">
      <text>
        <t>[Threaded comment]
Your version of Excel allows you to read this threaded comment; however, any edits to it will get removed if the file is opened in a newer version of Excel. Learn more: https://go.microsoft.com/fwlink/?linkid=870924
Comment:
    I primi due sono il credito che avevo dal 2024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tc={042D6C1B-A450-4406-916C-A41E02AAA5D7}</author>
    <author>tc={C6B42821-8ACA-478D-BB57-7180C6A88C0C}</author>
    <author>tc={DA873729-F3EF-4819-BD26-7EF0E3A5997C}</author>
    <author>tc={CF959693-58C5-4933-B30E-DF60673120F9}</author>
    <author>tc={3F9598D5-C4BB-4F7A-9050-CFD946D8EE60}</author>
    <author>tc={31023856-FA38-46D6-B201-8B1AA3355228}</author>
    <author>tc={354EA663-4129-4E44-A03A-2F1609A70401}</author>
    <author>tc={BD9A66FC-6D1C-448A-B389-BDE0D02D10CC}</author>
    <author>tc={76203DDA-6BE5-45D0-B9E7-21D9B4FF0BA6}</author>
    <author>tc={065ED15D-3F72-4912-BC9B-75FF2E8C1C7E}</author>
    <author>tc={621F7BED-D9C2-4884-A766-E9C05BAA4571}</author>
  </authors>
  <commentList>
    <comment ref="F3" authorId="0" shapeId="0" xr:uid="{042D6C1B-A450-4406-916C-A41E02AAA5D7}">
      <text>
        <t>[Threaded comment]
Your version of Excel allows you to read this threaded comment; however, any edits to it will get removed if the file is opened in a newer version of Excel. Learn more: https://go.microsoft.com/fwlink/?linkid=870924
Comment:
    Alessandro mi dava circa 1600 netti al mese, quindi 2k di prestazione occcasinale, prima fatta a maggio, poi 2k giugno e 1k luglio</t>
      </text>
    </comment>
    <comment ref="G5" authorId="1" shapeId="0" xr:uid="{C6B42821-8ACA-478D-BB57-7180C6A88C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Stimati 100 albo, 200 assicurazione 700 commercialista</t>
      </text>
    </comment>
    <comment ref="G7" authorId="2" shapeId="0" xr:uid="{DA873729-F3EF-4819-BD26-7EF0E3A5997C}">
      <text>
        <t>[Threaded comment]
Your version of Excel allows you to read this threaded comment; however, any edits to it will get removed if the file is opened in a newer version of Excel. Learn more: https://go.microsoft.com/fwlink/?linkid=870924
Comment:
    Stimati 100 albo, 200 assicurazione 700 commercialista</t>
      </text>
    </comment>
    <comment ref="G9" authorId="3" shapeId="0" xr:uid="{CF959693-58C5-4933-B30E-DF60673120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Stimati 100 albo, 200 assicurazione 700 commercialista</t>
      </text>
    </comment>
    <comment ref="F10" authorId="4" shapeId="0" xr:uid="{3F9598D5-C4BB-4F7A-9050-CFD946D8EE60}">
      <text>
        <t>[Threaded comment]
Your version of Excel allows you to read this threaded comment; however, any edits to it will get removed if the file is opened in a newer version of Excel. Learn more: https://go.microsoft.com/fwlink/?linkid=870924
Comment:
    Menarolo</t>
      </text>
    </comment>
    <comment ref="G11" authorId="5" shapeId="0" xr:uid="{31023856-FA38-46D6-B201-8B1AA3355228}">
      <text>
        <t>[Threaded comment]
Your version of Excel allows you to read this threaded comment; however, any edits to it will get removed if the file is opened in a newer version of Excel. Learn more: https://go.microsoft.com/fwlink/?linkid=870924
Comment:
    Stimati 100 albo, 200 assicurazione 700 commercialista</t>
      </text>
    </comment>
    <comment ref="F12" authorId="6" shapeId="0" xr:uid="{354EA663-4129-4E44-A03A-2F1609A70401}">
      <text>
        <t>[Threaded comment]
Your version of Excel allows you to read this threaded comment; however, any edits to it will get removed if the file is opened in a newer version of Excel. Learn more: https://go.microsoft.com/fwlink/?linkid=870924
Comment:
    ADC architravi, Manto</t>
      </text>
    </comment>
    <comment ref="G13" authorId="7" shapeId="0" xr:uid="{BD9A66FC-6D1C-448A-B389-BDE0D02D10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Stimati 100 albo, 200 assicurazione 700 commercialista</t>
      </text>
    </comment>
    <comment ref="G23" authorId="8" shapeId="0" xr:uid="{76203DDA-6BE5-45D0-B9E7-21D9B4FF0BA6}">
      <text>
        <t>[Threaded comment]
Your version of Excel allows you to read this threaded comment; however, any edits to it will get removed if the file is opened in a newer version of Excel. Learn more: https://go.microsoft.com/fwlink/?linkid=870924
Comment:
    Stimati 100 albo, 200 assicurazione 700 commercialista</t>
      </text>
    </comment>
    <comment ref="G25" authorId="9" shapeId="0" xr:uid="{065ED15D-3F72-4912-BC9B-75FF2E8C1C7E}">
      <text>
        <t>[Threaded comment]
Your version of Excel allows you to read this threaded comment; however, any edits to it will get removed if the file is opened in a newer version of Excel. Learn more: https://go.microsoft.com/fwlink/?linkid=870924
Comment:
    Stimati 100 albo, 200 assicurazione 700 commercialista</t>
      </text>
    </comment>
    <comment ref="G27" authorId="10" shapeId="0" xr:uid="{621F7BED-D9C2-4884-A766-E9C05BAA4571}">
      <text>
        <t>[Threaded comment]
Your version of Excel allows you to read this threaded comment; however, any edits to it will get removed if the file is opened in a newer version of Excel. Learn more: https://go.microsoft.com/fwlink/?linkid=870924
Comment:
    Stimati 100 albo, 200 assicurazione 700 commercialista</t>
      </text>
    </comment>
  </commentList>
</comments>
</file>

<file path=xl/sharedStrings.xml><?xml version="1.0" encoding="utf-8"?>
<sst xmlns="http://schemas.openxmlformats.org/spreadsheetml/2006/main" count="954" uniqueCount="161">
  <si>
    <t>ELENCO FATTURE</t>
  </si>
  <si>
    <t>Anno 2021</t>
  </si>
  <si>
    <t>Anno 2017</t>
  </si>
  <si>
    <t>Nr</t>
  </si>
  <si>
    <t>Anno</t>
  </si>
  <si>
    <t>Trimestre</t>
  </si>
  <si>
    <t>Data emissione</t>
  </si>
  <si>
    <t>Pagamento (gg)</t>
  </si>
  <si>
    <t>Data Scadenza</t>
  </si>
  <si>
    <t>Data pagamento</t>
  </si>
  <si>
    <t>Incassato</t>
  </si>
  <si>
    <t>Destinatario</t>
  </si>
  <si>
    <t>Netto</t>
  </si>
  <si>
    <t>Iva</t>
  </si>
  <si>
    <t>Integr. 4%</t>
  </si>
  <si>
    <t>Bollo</t>
  </si>
  <si>
    <t>Totale</t>
  </si>
  <si>
    <t>Estero</t>
  </si>
  <si>
    <t>Ferie</t>
  </si>
  <si>
    <t>Extra Alessandro</t>
  </si>
  <si>
    <t>Fattura reale</t>
  </si>
  <si>
    <t>Fattura stimata</t>
  </si>
  <si>
    <t>x</t>
  </si>
  <si>
    <t>Alessandro</t>
  </si>
  <si>
    <t>Precedenti</t>
  </si>
  <si>
    <t>Attuali</t>
  </si>
  <si>
    <t xml:space="preserve">Mesi </t>
  </si>
  <si>
    <t>STI</t>
  </si>
  <si>
    <t>Ore</t>
  </si>
  <si>
    <t>Giorni</t>
  </si>
  <si>
    <t>Mensile</t>
  </si>
  <si>
    <t>Coefficiente ATECO</t>
  </si>
  <si>
    <t>forfettario</t>
  </si>
  <si>
    <t>Totale fatturato annuo</t>
  </si>
  <si>
    <t>Mattia Coppino</t>
  </si>
  <si>
    <t>volume d'affari compessivo</t>
  </si>
  <si>
    <t>Andrea Coppino</t>
  </si>
  <si>
    <t>Spese deducibili</t>
  </si>
  <si>
    <t>Imponibile</t>
  </si>
  <si>
    <t>Imposta sostitutiva (15% al fisco)</t>
  </si>
  <si>
    <t>INARCASSA</t>
  </si>
  <si>
    <t>Contributo soggettivo</t>
  </si>
  <si>
    <t>Contributo integrativo</t>
  </si>
  <si>
    <t>Contributo maternità</t>
  </si>
  <si>
    <t>totale fatturato</t>
  </si>
  <si>
    <t>TOT</t>
  </si>
  <si>
    <t>totale incassato</t>
  </si>
  <si>
    <t>Netti</t>
  </si>
  <si>
    <t>Tasse senza 4%</t>
  </si>
  <si>
    <t xml:space="preserve"> totale</t>
  </si>
  <si>
    <t xml:space="preserve"> Mattia</t>
  </si>
  <si>
    <t>Media</t>
  </si>
  <si>
    <t xml:space="preserve"> Andrea</t>
  </si>
  <si>
    <t xml:space="preserve"> mensile anno prec</t>
  </si>
  <si>
    <t xml:space="preserve"> mensile anno attuale</t>
  </si>
  <si>
    <t>Controllo</t>
  </si>
  <si>
    <t>Netto totale</t>
  </si>
  <si>
    <t>Netto mensile anno attuale</t>
  </si>
  <si>
    <t>GIORNI FESTIVI</t>
  </si>
  <si>
    <t>Netto 2020</t>
  </si>
  <si>
    <t>Netto Mattia</t>
  </si>
  <si>
    <t>Netto mensile anno prec</t>
  </si>
  <si>
    <t>Netto Andrea</t>
  </si>
  <si>
    <t>Tosolini</t>
  </si>
  <si>
    <t>Già pagato</t>
  </si>
  <si>
    <t>NOTA DI CREDITO</t>
  </si>
  <si>
    <t>Da pagare</t>
  </si>
  <si>
    <t>Anno 2022</t>
  </si>
  <si>
    <t>Pagato</t>
  </si>
  <si>
    <t>Inarcassa</t>
  </si>
  <si>
    <t>Imposte</t>
  </si>
  <si>
    <t>Rimanente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</si>
  <si>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</si>
  <si>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</si>
  <si>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</si>
  <si>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</si>
  <si>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</si>
  <si>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</si>
  <si>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</si>
  <si>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</si>
  <si>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</si>
  <si>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</si>
  <si>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</si>
  <si>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</si>
  <si>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SBAGLIATA</t>
  </si>
  <si>
    <t>Saldo agosto</t>
  </si>
  <si>
    <t>Mese</t>
  </si>
  <si>
    <t>NOTE</t>
  </si>
  <si>
    <t>Numero</t>
  </si>
  <si>
    <t>Data emissione sbagliata, già pagato F24</t>
  </si>
  <si>
    <t>Pellizzari</t>
  </si>
  <si>
    <t>INARCASSA REALE</t>
  </si>
  <si>
    <t>ESTERO</t>
  </si>
  <si>
    <t>Anno 2023</t>
  </si>
  <si>
    <t>Netto mensile 13 mensilità</t>
  </si>
  <si>
    <t>LIMITE</t>
  </si>
  <si>
    <t>Extra</t>
  </si>
  <si>
    <t>Ridotto</t>
  </si>
  <si>
    <t>Linea</t>
  </si>
  <si>
    <t>IRPEF REALE</t>
  </si>
  <si>
    <r>
      <t>Dal</t>
    </r>
    <r>
      <rPr>
        <b/>
        <sz val="14"/>
        <color rgb="FF000000"/>
        <rFont val="Arial"/>
        <family val="2"/>
      </rPr>
      <t> </t>
    </r>
    <r>
      <rPr>
        <sz val="14"/>
        <color theme="1"/>
        <rFont val="Arial"/>
        <family val="2"/>
      </rPr>
      <t>01/01/2021</t>
    </r>
    <r>
      <rPr>
        <sz val="14"/>
        <color rgb="FF000000"/>
        <rFont val="Arial"/>
        <family val="2"/>
      </rPr>
      <t> il beneficio della riduzione contributiva, anche se già riconosciuto per gli anni precedenti, spetta solo ai giovani associati che dichiarino un </t>
    </r>
    <r>
      <rPr>
        <b/>
        <sz val="14"/>
        <color rgb="FF000000"/>
        <rFont val="Arial"/>
        <family val="2"/>
      </rPr>
      <t>reddito professionale IRPEF inferiore o uguale al reddito medio </t>
    </r>
    <r>
      <rPr>
        <sz val="14"/>
        <color rgb="FF000000"/>
        <rFont val="Arial"/>
        <family val="2"/>
      </rPr>
      <t>dichiarato dagli iscritti a Inarcassa nel </t>
    </r>
    <r>
      <rPr>
        <b/>
        <sz val="14"/>
        <color rgb="FF000000"/>
        <rFont val="Arial"/>
        <family val="2"/>
      </rPr>
      <t>biennio precedente all’anno oggetto di agevolazione. </t>
    </r>
    <r>
      <rPr>
        <sz val="14"/>
        <color rgb="FF000000"/>
        <rFont val="Arial"/>
        <family val="2"/>
      </rPr>
      <t>Ad esempio, per l’anno </t>
    </r>
    <r>
      <rPr>
        <b/>
        <sz val="14"/>
        <color rgb="FF000000"/>
        <rFont val="Arial"/>
        <family val="2"/>
      </rPr>
      <t>2023 </t>
    </r>
    <r>
      <rPr>
        <sz val="14"/>
        <color rgb="FF000000"/>
        <rFont val="Arial"/>
        <family val="2"/>
      </rPr>
      <t>il reddito medio di riferimento è quello dichiarato dagli iscritti nel 2022 (reddito 2021) e 2021 (reddito 2020) pari a euro 31.704,00. </t>
    </r>
  </si>
  <si>
    <t>Nardini</t>
  </si>
  <si>
    <t>Bliz</t>
  </si>
  <si>
    <t>Gosparini</t>
  </si>
  <si>
    <t>Lavoro principale</t>
  </si>
  <si>
    <t>Lavoro secondario</t>
  </si>
  <si>
    <t>Tassazione media</t>
  </si>
  <si>
    <t>Spesa extra</t>
  </si>
  <si>
    <t>Anno precedente</t>
  </si>
  <si>
    <t>Rimanente 2024</t>
  </si>
  <si>
    <t>A1</t>
  </si>
  <si>
    <t>B1</t>
  </si>
  <si>
    <t>B2.1</t>
  </si>
  <si>
    <t>B5.1</t>
  </si>
  <si>
    <t>B7.1</t>
  </si>
  <si>
    <t>E1</t>
  </si>
  <si>
    <t>preso dal commericalista LM22 colonna 3</t>
  </si>
  <si>
    <t>preso dal commericalista LM22 colonna 5</t>
  </si>
  <si>
    <t>CHECK!</t>
  </si>
  <si>
    <t>&lt;1€</t>
  </si>
  <si>
    <t>Morgante</t>
  </si>
  <si>
    <t>Valent</t>
  </si>
  <si>
    <t>ProLoco</t>
  </si>
  <si>
    <t>prop</t>
  </si>
  <si>
    <t>TOP</t>
  </si>
  <si>
    <t>Netto mese 13</t>
  </si>
  <si>
    <t>Proposto</t>
  </si>
  <si>
    <t>€/mese</t>
  </si>
  <si>
    <t>€/giorno</t>
  </si>
  <si>
    <t>Partenza</t>
  </si>
  <si>
    <t>Netto mensile 12</t>
  </si>
  <si>
    <t>€/h</t>
  </si>
  <si>
    <t>Anno 2025</t>
  </si>
  <si>
    <t>Emessa?</t>
  </si>
  <si>
    <t>Girorno emissione</t>
  </si>
  <si>
    <t>Estero?</t>
  </si>
  <si>
    <t>Giorni lavorativi</t>
  </si>
  <si>
    <t>Extra week</t>
  </si>
  <si>
    <t>Lavorati reali</t>
  </si>
  <si>
    <t>Obiettivo 120!</t>
  </si>
  <si>
    <t>Ferie / malattia</t>
  </si>
  <si>
    <t>Prezzo giornaliero</t>
  </si>
  <si>
    <t>Pagnacco</t>
  </si>
  <si>
    <t>Tasse ad oggi</t>
  </si>
  <si>
    <t>0,5 sono dal mese precedente</t>
  </si>
  <si>
    <t>No</t>
  </si>
  <si>
    <t>Rimanente 2025</t>
  </si>
  <si>
    <t>Spostati dal mese precedente</t>
  </si>
  <si>
    <t>1° SCAT 05/2025</t>
  </si>
  <si>
    <t>2° SCAT 05/2026</t>
  </si>
  <si>
    <t>3° SCAT 05/2026</t>
  </si>
  <si>
    <t>ERA</t>
  </si>
  <si>
    <t>Gosparini costruz</t>
  </si>
  <si>
    <t>Netto mensile 15 mensilità</t>
  </si>
  <si>
    <t>da novembre</t>
  </si>
  <si>
    <t>Prezzo giornaliero dal 01/06</t>
  </si>
  <si>
    <t>Cigliani</t>
  </si>
  <si>
    <t>Rimanente 2026</t>
  </si>
  <si>
    <t>Netto mensile 13</t>
  </si>
  <si>
    <t>Schirmer</t>
  </si>
  <si>
    <t>hydr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</si>
</sst>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_-&quot;€&quot;\ * #,##0.00_-;\-&quot;€&quot;\ * #,##0.00_-;_-&quot;€&quot;\ * &quot;-&quot;??_-;_-@_-"/>
    <numFmt numFmtId="165" formatCode="_-* #,##0.00\ [$€-410]_-;\-* #,##0.00\ [$€-410]_-;_-* &quot;-&quot;??\ [$€-410]_-;_-@_-"/>
    <numFmt numFmtId="166" formatCode="_-[$€-410]\ * #,##0.00_-;\-[$€-410]\ * #,##0.00_-;_-[$€-410]\ * &quot;-&quot;??_-;_-@_-"/>
    <numFmt numFmtId="167" formatCode="#,##0.00\ &quot;€&quot;"/>
    <numFmt numFmtId="168" formatCode="0.0"/>
    <numFmt numFmtId="169" formatCode="0.0%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0"/>
      <name val="Arial Narrow"/>
      <family val="2"/>
    </font>
    <font>
      <i/>
      <sz val="10"/>
      <color theme="1"/>
      <name val="Arial Narrow"/>
      <family val="2"/>
    </font>
    <font>
      <i/>
      <sz val="10"/>
      <color rgb="FF0000FF"/>
      <name val="Arial Narrow"/>
      <family val="2"/>
    </font>
    <font>
      <b/>
      <i/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color rgb="FF0000FF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Arial Narrow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4"/>
      <color theme="1"/>
      <name val="Arial"/>
      <family val="2"/>
    </font>
    <font>
      <b/>
      <sz val="10"/>
      <color theme="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/>
      <right/>
      <top style="thin">
        <color theme="0" tint="-0.14996795556505021"/>
      </top>
      <bottom style="thin">
        <color auto="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/>
      <bottom style="thin">
        <color theme="0" tint="-0.14996795556505021"/>
      </bottom>
      <diagonal/>
    </border>
    <border>
      <left/>
      <right style="thin">
        <color auto="1"/>
      </right>
      <top/>
      <bottom style="thin">
        <color theme="0" tint="-0.149967955565050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5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vertical="center" wrapText="1"/>
    </xf>
    <xf numFmtId="0" fontId="3" fillId="0" borderId="0" xfId="0" applyFont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left" vertical="center"/>
    </xf>
    <xf numFmtId="14" fontId="10" fillId="0" borderId="6" xfId="0" applyNumberFormat="1" applyFont="1" applyBorder="1" applyAlignment="1">
      <alignment horizontal="left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left" vertical="center"/>
    </xf>
    <xf numFmtId="14" fontId="10" fillId="0" borderId="15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7" fontId="10" fillId="0" borderId="3" xfId="0" quotePrefix="1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64" fontId="1" fillId="0" borderId="1" xfId="1" applyFont="1" applyBorder="1" applyAlignment="1">
      <alignment horizontal="right" vertical="center"/>
    </xf>
    <xf numFmtId="14" fontId="1" fillId="0" borderId="1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165" fontId="8" fillId="0" borderId="4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indent="1"/>
    </xf>
    <xf numFmtId="164" fontId="1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0" fontId="7" fillId="0" borderId="0" xfId="2" applyNumberFormat="1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4" fontId="1" fillId="0" borderId="0" xfId="1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4" fontId="1" fillId="0" borderId="2" xfId="0" applyNumberFormat="1" applyFont="1" applyBorder="1" applyAlignment="1">
      <alignment horizontal="left" vertical="center"/>
    </xf>
    <xf numFmtId="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indent="1"/>
    </xf>
    <xf numFmtId="165" fontId="1" fillId="0" borderId="6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168" fontId="1" fillId="0" borderId="0" xfId="0" applyNumberFormat="1" applyFont="1" applyAlignment="1">
      <alignment horizontal="center" vertical="center"/>
    </xf>
    <xf numFmtId="164" fontId="1" fillId="0" borderId="0" xfId="1" applyFont="1" applyBorder="1" applyAlignment="1">
      <alignment vertical="center"/>
    </xf>
    <xf numFmtId="44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44" fontId="1" fillId="0" borderId="0" xfId="0" applyNumberFormat="1" applyFont="1" applyAlignment="1">
      <alignment vertical="center"/>
    </xf>
    <xf numFmtId="0" fontId="10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4" fontId="10" fillId="3" borderId="9" xfId="0" applyNumberFormat="1" applyFont="1" applyFill="1" applyBorder="1" applyAlignment="1">
      <alignment horizontal="center" vertical="center"/>
    </xf>
    <xf numFmtId="1" fontId="10" fillId="3" borderId="2" xfId="0" applyNumberFormat="1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11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 indent="1"/>
    </xf>
    <xf numFmtId="165" fontId="10" fillId="3" borderId="2" xfId="0" applyNumberFormat="1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165" fontId="1" fillId="3" borderId="8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4" fontId="10" fillId="3" borderId="7" xfId="0" applyNumberFormat="1" applyFont="1" applyFill="1" applyBorder="1" applyAlignment="1">
      <alignment horizontal="center" vertical="center"/>
    </xf>
    <xf numFmtId="14" fontId="10" fillId="3" borderId="2" xfId="0" applyNumberFormat="1" applyFont="1" applyFill="1" applyBorder="1" applyAlignment="1">
      <alignment horizontal="center" vertical="center"/>
    </xf>
    <xf numFmtId="17" fontId="10" fillId="4" borderId="3" xfId="0" quotePrefix="1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4" fontId="10" fillId="4" borderId="9" xfId="0" applyNumberFormat="1" applyFont="1" applyFill="1" applyBorder="1" applyAlignment="1">
      <alignment horizontal="center" vertical="center"/>
    </xf>
    <xf numFmtId="1" fontId="10" fillId="4" borderId="2" xfId="0" applyNumberFormat="1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14" fontId="10" fillId="4" borderId="2" xfId="0" applyNumberFormat="1" applyFont="1" applyFill="1" applyBorder="1" applyAlignment="1">
      <alignment horizontal="center" vertical="center"/>
    </xf>
    <xf numFmtId="14" fontId="1" fillId="4" borderId="11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left" vertical="center" indent="1"/>
    </xf>
    <xf numFmtId="165" fontId="10" fillId="4" borderId="2" xfId="0" applyNumberFormat="1" applyFont="1" applyFill="1" applyBorder="1" applyAlignment="1">
      <alignment horizontal="center" vertical="center"/>
    </xf>
    <xf numFmtId="165" fontId="1" fillId="4" borderId="7" xfId="0" applyNumberFormat="1" applyFont="1" applyFill="1" applyBorder="1" applyAlignment="1">
      <alignment horizontal="center" vertical="center"/>
    </xf>
    <xf numFmtId="165" fontId="1" fillId="4" borderId="8" xfId="0" applyNumberFormat="1" applyFont="1" applyFill="1" applyBorder="1" applyAlignment="1">
      <alignment horizontal="center" vertical="center"/>
    </xf>
    <xf numFmtId="14" fontId="10" fillId="4" borderId="2" xfId="0" applyNumberFormat="1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14" fontId="10" fillId="5" borderId="9" xfId="0" applyNumberFormat="1" applyFont="1" applyFill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/>
    </xf>
    <xf numFmtId="14" fontId="10" fillId="5" borderId="2" xfId="0" applyNumberFormat="1" applyFont="1" applyFill="1" applyBorder="1" applyAlignment="1">
      <alignment horizontal="left" vertical="center"/>
    </xf>
    <xf numFmtId="14" fontId="1" fillId="5" borderId="11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left" vertical="center" indent="1"/>
    </xf>
    <xf numFmtId="165" fontId="10" fillId="5" borderId="2" xfId="0" applyNumberFormat="1" applyFont="1" applyFill="1" applyBorder="1" applyAlignment="1">
      <alignment horizontal="center" vertical="center"/>
    </xf>
    <xf numFmtId="165" fontId="1" fillId="5" borderId="7" xfId="0" applyNumberFormat="1" applyFont="1" applyFill="1" applyBorder="1" applyAlignment="1">
      <alignment horizontal="center" vertical="center"/>
    </xf>
    <xf numFmtId="165" fontId="1" fillId="5" borderId="8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4" fontId="1" fillId="0" borderId="0" xfId="1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14" fontId="10" fillId="6" borderId="9" xfId="0" applyNumberFormat="1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left" vertical="center" indent="1"/>
    </xf>
    <xf numFmtId="165" fontId="10" fillId="6" borderId="2" xfId="0" applyNumberFormat="1" applyFont="1" applyFill="1" applyBorder="1" applyAlignment="1">
      <alignment horizontal="center" vertical="center"/>
    </xf>
    <xf numFmtId="165" fontId="1" fillId="6" borderId="7" xfId="0" applyNumberFormat="1" applyFont="1" applyFill="1" applyBorder="1" applyAlignment="1">
      <alignment horizontal="center" vertical="center"/>
    </xf>
    <xf numFmtId="165" fontId="1" fillId="6" borderId="8" xfId="0" applyNumberFormat="1" applyFont="1" applyFill="1" applyBorder="1" applyAlignment="1">
      <alignment horizontal="center" vertical="center"/>
    </xf>
    <xf numFmtId="17" fontId="10" fillId="7" borderId="3" xfId="0" quotePrefix="1" applyNumberFormat="1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14" fontId="10" fillId="7" borderId="9" xfId="0" applyNumberFormat="1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left" vertical="center" indent="1"/>
    </xf>
    <xf numFmtId="165" fontId="10" fillId="7" borderId="2" xfId="0" applyNumberFormat="1" applyFont="1" applyFill="1" applyBorder="1" applyAlignment="1">
      <alignment horizontal="center" vertical="center"/>
    </xf>
    <xf numFmtId="165" fontId="1" fillId="7" borderId="7" xfId="0" applyNumberFormat="1" applyFont="1" applyFill="1" applyBorder="1" applyAlignment="1">
      <alignment horizontal="center" vertical="center"/>
    </xf>
    <xf numFmtId="165" fontId="1" fillId="7" borderId="8" xfId="0" applyNumberFormat="1" applyFont="1" applyFill="1" applyBorder="1" applyAlignment="1">
      <alignment horizontal="center" vertical="center"/>
    </xf>
    <xf numFmtId="44" fontId="2" fillId="0" borderId="0" xfId="0" applyNumberFormat="1" applyFont="1" applyAlignment="1">
      <alignment vertical="center"/>
    </xf>
    <xf numFmtId="164" fontId="0" fillId="0" borderId="0" xfId="1" applyFont="1"/>
    <xf numFmtId="0" fontId="10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14" fontId="10" fillId="8" borderId="9" xfId="0" applyNumberFormat="1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left" vertical="center" indent="1"/>
    </xf>
    <xf numFmtId="165" fontId="10" fillId="8" borderId="2" xfId="0" applyNumberFormat="1" applyFont="1" applyFill="1" applyBorder="1" applyAlignment="1">
      <alignment horizontal="center" vertical="center"/>
    </xf>
    <xf numFmtId="165" fontId="1" fillId="8" borderId="7" xfId="0" applyNumberFormat="1" applyFont="1" applyFill="1" applyBorder="1" applyAlignment="1">
      <alignment horizontal="center" vertical="center"/>
    </xf>
    <xf numFmtId="165" fontId="1" fillId="8" borderId="8" xfId="0" applyNumberFormat="1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1" fontId="10" fillId="6" borderId="9" xfId="0" applyNumberFormat="1" applyFont="1" applyFill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7" borderId="9" xfId="0" applyNumberFormat="1" applyFont="1" applyFill="1" applyBorder="1" applyAlignment="1">
      <alignment horizontal="center" vertical="center"/>
    </xf>
    <xf numFmtId="1" fontId="10" fillId="8" borderId="9" xfId="0" applyNumberFormat="1" applyFont="1" applyFill="1" applyBorder="1" applyAlignment="1">
      <alignment horizontal="center" vertical="center"/>
    </xf>
    <xf numFmtId="1" fontId="10" fillId="3" borderId="9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4" fontId="1" fillId="0" borderId="25" xfId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44" fontId="13" fillId="3" borderId="27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164" fontId="0" fillId="3" borderId="0" xfId="1" applyFont="1" applyFill="1"/>
    <xf numFmtId="1" fontId="1" fillId="0" borderId="0" xfId="0" applyNumberFormat="1" applyFont="1" applyAlignment="1">
      <alignment horizontal="center" vertical="center"/>
    </xf>
    <xf numFmtId="44" fontId="17" fillId="9" borderId="28" xfId="0" applyNumberFormat="1" applyFont="1" applyFill="1" applyBorder="1" applyAlignment="1">
      <alignment horizontal="center" vertical="center"/>
    </xf>
    <xf numFmtId="10" fontId="7" fillId="0" borderId="0" xfId="2" applyNumberFormat="1" applyFont="1" applyFill="1" applyBorder="1" applyAlignment="1">
      <alignment horizontal="left" vertical="center"/>
    </xf>
    <xf numFmtId="9" fontId="0" fillId="0" borderId="0" xfId="2" applyFont="1"/>
    <xf numFmtId="164" fontId="1" fillId="0" borderId="0" xfId="1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4" fontId="1" fillId="8" borderId="0" xfId="1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44" fontId="1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65" fontId="3" fillId="3" borderId="0" xfId="0" applyNumberFormat="1" applyFont="1" applyFill="1" applyAlignment="1">
      <alignment horizontal="center" vertical="center"/>
    </xf>
    <xf numFmtId="164" fontId="1" fillId="3" borderId="0" xfId="1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9" fontId="2" fillId="0" borderId="0" xfId="2" applyNumberFormat="1" applyFont="1" applyAlignment="1">
      <alignment vertical="center"/>
    </xf>
    <xf numFmtId="169" fontId="2" fillId="0" borderId="0" xfId="2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68" fontId="2" fillId="0" borderId="29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168" fontId="2" fillId="0" borderId="21" xfId="0" applyNumberFormat="1" applyFont="1" applyBorder="1" applyAlignment="1">
      <alignment horizontal="center" vertical="center"/>
    </xf>
    <xf numFmtId="168" fontId="2" fillId="0" borderId="24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64" fontId="2" fillId="0" borderId="0" xfId="1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1" fontId="1" fillId="6" borderId="8" xfId="1" applyNumberFormat="1" applyFont="1" applyFill="1" applyBorder="1" applyAlignment="1">
      <alignment horizontal="center" vertical="center"/>
    </xf>
    <xf numFmtId="1" fontId="1" fillId="0" borderId="8" xfId="1" applyNumberFormat="1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164" fontId="1" fillId="0" borderId="14" xfId="1" applyFont="1" applyBorder="1" applyAlignment="1">
      <alignment horizontal="center" vertical="center"/>
    </xf>
    <xf numFmtId="1" fontId="1" fillId="6" borderId="8" xfId="0" applyNumberFormat="1" applyFont="1" applyFill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68" fontId="1" fillId="0" borderId="8" xfId="0" applyNumberFormat="1" applyFont="1" applyBorder="1" applyAlignment="1">
      <alignment horizontal="center" vertical="center"/>
    </xf>
    <xf numFmtId="168" fontId="1" fillId="0" borderId="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1" fillId="0" borderId="8" xfId="1" applyNumberFormat="1" applyFont="1" applyFill="1" applyBorder="1" applyAlignment="1">
      <alignment horizontal="center" vertical="center"/>
    </xf>
    <xf numFmtId="168" fontId="1" fillId="3" borderId="8" xfId="1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8" fontId="1" fillId="0" borderId="8" xfId="1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vertical="center"/>
    </xf>
    <xf numFmtId="168" fontId="1" fillId="6" borderId="8" xfId="0" applyNumberFormat="1" applyFont="1" applyFill="1" applyBorder="1" applyAlignment="1">
      <alignment horizontal="center" vertical="center"/>
    </xf>
    <xf numFmtId="168" fontId="1" fillId="6" borderId="8" xfId="1" applyNumberFormat="1" applyFont="1" applyFill="1" applyBorder="1" applyAlignment="1">
      <alignment horizontal="center" vertical="center"/>
    </xf>
    <xf numFmtId="168" fontId="1" fillId="0" borderId="8" xfId="1" applyNumberFormat="1" applyFont="1" applyBorder="1" applyAlignment="1">
      <alignment horizontal="center" vertical="center"/>
    </xf>
    <xf numFmtId="164" fontId="1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165" fontId="8" fillId="0" borderId="19" xfId="0" applyNumberFormat="1" applyFont="1" applyBorder="1" applyAlignment="1">
      <alignment horizontal="center" vertical="center"/>
    </xf>
    <xf numFmtId="165" fontId="8" fillId="0" borderId="18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" fontId="10" fillId="0" borderId="9" xfId="0" quotePrefix="1" applyNumberFormat="1" applyFont="1" applyBorder="1" applyAlignment="1">
      <alignment horizontal="center" vertical="center"/>
    </xf>
    <xf numFmtId="17" fontId="10" fillId="0" borderId="8" xfId="0" quotePrefix="1" applyNumberFormat="1" applyFont="1" applyBorder="1" applyAlignment="1">
      <alignment horizontal="center" vertical="center"/>
    </xf>
    <xf numFmtId="17" fontId="10" fillId="8" borderId="9" xfId="0" quotePrefix="1" applyNumberFormat="1" applyFont="1" applyFill="1" applyBorder="1" applyAlignment="1">
      <alignment horizontal="center" vertical="center"/>
    </xf>
    <xf numFmtId="17" fontId="10" fillId="8" borderId="8" xfId="0" quotePrefix="1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20" dT="2025-07-16T14:54:09.26" personId="{00000000-0000-0000-0000-000000000000}" id="{E6448768-44BC-4B68-BBA3-8E2543E38DE7}">
    <text>I primi due sono il credito che avevo dal 2024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20" dT="2025-07-16T14:54:09.26" personId="{00000000-0000-0000-0000-000000000000}" id="{6E8D73A3-680B-4301-9F6A-C9D30A7868E6}">
    <text>I primi due sono il credito che avevo dal 2024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V20" dT="2025-07-16T14:54:09.26" personId="{00000000-0000-0000-0000-000000000000}" id="{E28B047B-5D72-448F-84B8-AFA5AE5F9001}">
    <text>I primi due sono il credito che avevo dal 2024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V20" dT="2025-07-16T14:54:09.26" personId="{00000000-0000-0000-0000-000000000000}" id="{15ABA68F-587C-4FBD-ABAF-A86C47E7651F}">
    <text>I primi due sono il credito che avevo dal 2024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3" dT="2024-04-13T14:41:52.15" personId="{00000000-0000-0000-0000-000000000000}" id="{042D6C1B-A450-4406-916C-A41E02AAA5D7}">
    <text>Alessandro mi dava circa 1600 netti al mese, quindi 2k di prestazione occcasinale, prima fatta a maggio, poi 2k giugno e 1k luglio</text>
  </threadedComment>
  <threadedComment ref="G5" dT="2024-04-13T14:50:54.54" personId="{00000000-0000-0000-0000-000000000000}" id="{C6B42821-8ACA-478D-BB57-7180C6A88C0C}">
    <text>Stimati 100 albo, 200 assicurazione 700 commercialista</text>
  </threadedComment>
  <threadedComment ref="G7" dT="2024-04-13T14:50:54.54" personId="{00000000-0000-0000-0000-000000000000}" id="{DA873729-F3EF-4819-BD26-7EF0E3A5997C}">
    <text>Stimati 100 albo, 200 assicurazione 700 commercialista</text>
  </threadedComment>
  <threadedComment ref="G9" dT="2024-04-13T14:50:54.54" personId="{00000000-0000-0000-0000-000000000000}" id="{CF959693-58C5-4933-B30E-DF60673120F9}">
    <text>Stimati 100 albo, 200 assicurazione 700 commercialista</text>
  </threadedComment>
  <threadedComment ref="F10" dT="2024-05-28T15:50:21.82" personId="{00000000-0000-0000-0000-000000000000}" id="{3F9598D5-C4BB-4F7A-9050-CFD946D8EE60}">
    <text>Menarolo</text>
  </threadedComment>
  <threadedComment ref="G11" dT="2024-04-13T14:50:54.54" personId="{00000000-0000-0000-0000-000000000000}" id="{31023856-FA38-46D6-B201-8B1AA3355228}">
    <text>Stimati 100 albo, 200 assicurazione 700 commercialista</text>
  </threadedComment>
  <threadedComment ref="F12" dT="2024-05-28T15:50:43.48" personId="{00000000-0000-0000-0000-000000000000}" id="{354EA663-4129-4E44-A03A-2F1609A70401}">
    <text>ADC architravi, Manto</text>
  </threadedComment>
  <threadedComment ref="G13" dT="2024-04-13T14:50:54.54" personId="{00000000-0000-0000-0000-000000000000}" id="{BD9A66FC-6D1C-448A-B389-BDE0D02D10CC}">
    <text>Stimati 100 albo, 200 assicurazione 700 commercialista</text>
  </threadedComment>
  <threadedComment ref="G23" dT="2024-04-13T14:50:54.54" personId="{00000000-0000-0000-0000-000000000000}" id="{76203DDA-6BE5-45D0-B9E7-21D9B4FF0BA6}">
    <text>Stimati 100 albo, 200 assicurazione 700 commercialista</text>
  </threadedComment>
  <threadedComment ref="G25" dT="2024-04-13T14:50:54.54" personId="{00000000-0000-0000-0000-000000000000}" id="{065ED15D-3F72-4912-BC9B-75FF2E8C1C7E}">
    <text>Stimati 100 albo, 200 assicurazione 700 commercialista</text>
  </threadedComment>
  <threadedComment ref="G27" dT="2024-04-13T14:50:54.54" personId="{00000000-0000-0000-0000-000000000000}" id="{621F7BED-D9C2-4884-A766-E9C05BAA4571}">
    <text>Stimati 100 albo, 200 assicurazione 700 commercialista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0A2078-2CC8-4BFF-8997-1964E4F13F31}">
  <we:reference id="wa200005502" version="1.0.0.11" store="en-US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AH39"/>
  <sheetViews>
    <sheetView showGridLines="0" zoomScale="85" zoomScaleNormal="85" workbookViewId="0">
      <selection activeCell="L27" sqref="L27"/>
    </sheetView>
  </sheetViews>
  <sheetFormatPr defaultColWidth="9.140625" defaultRowHeight="24.95" customHeight="1" x14ac:dyDescent="0.25"/>
  <cols>
    <col min="1" max="1" width="2.7109375" style="1" customWidth="1"/>
    <col min="2" max="2" width="8.140625" style="2" customWidth="1"/>
    <col min="3" max="3" width="7.140625" style="2" customWidth="1"/>
    <col min="4" max="4" width="7.5703125" style="2" customWidth="1"/>
    <col min="5" max="5" width="61.7109375" style="2" hidden="1" customWidth="1"/>
    <col min="6" max="7" width="11.28515625" style="1" customWidth="1"/>
    <col min="8" max="8" width="14" style="1" customWidth="1"/>
    <col min="9" max="9" width="10.140625" style="1" customWidth="1"/>
    <col min="10" max="10" width="9.5703125" style="1" customWidth="1"/>
    <col min="11" max="11" width="25.28515625" style="1" customWidth="1"/>
    <col min="12" max="12" width="14.28515625" style="1" customWidth="1"/>
    <col min="13" max="13" width="12.28515625" style="1" customWidth="1"/>
    <col min="14" max="14" width="10.7109375" style="1" customWidth="1"/>
    <col min="15" max="15" width="11.28515625" style="2" customWidth="1"/>
    <col min="16" max="17" width="10.140625" style="1" customWidth="1"/>
    <col min="18" max="18" width="3.42578125" style="1" customWidth="1"/>
    <col min="19" max="19" width="25" style="1" customWidth="1"/>
    <col min="20" max="20" width="18" style="2" customWidth="1"/>
    <col min="21" max="21" width="15.140625" style="2" customWidth="1"/>
    <col min="22" max="22" width="17.7109375" style="1" customWidth="1"/>
    <col min="23" max="23" width="9.42578125" style="1" customWidth="1"/>
    <col min="24" max="24" width="13.7109375" style="1" customWidth="1"/>
    <col min="25" max="25" width="12.85546875" style="2" customWidth="1"/>
    <col min="26" max="26" width="11.42578125" style="2" customWidth="1"/>
    <col min="27" max="29" width="9.5703125" style="1" bestFit="1" customWidth="1"/>
    <col min="30" max="31" width="9.140625" style="1"/>
    <col min="32" max="32" width="12.28515625" style="2" customWidth="1"/>
    <col min="33" max="33" width="24.140625" style="2" customWidth="1"/>
    <col min="34" max="34" width="17.140625" style="2" customWidth="1"/>
    <col min="35" max="16384" width="9.140625" style="1"/>
  </cols>
  <sheetData>
    <row r="1" spans="1:34" ht="28.5" customHeight="1" x14ac:dyDescent="0.25">
      <c r="A1" s="39"/>
      <c r="B1" s="229" t="s">
        <v>0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86"/>
      <c r="R1" s="39"/>
      <c r="S1" s="39"/>
      <c r="T1" s="41"/>
      <c r="U1" s="41"/>
      <c r="V1" s="39"/>
      <c r="W1" s="39"/>
      <c r="X1" s="39"/>
      <c r="Y1" s="41"/>
      <c r="Z1" s="41"/>
      <c r="AA1" s="39"/>
      <c r="AF1" s="41"/>
      <c r="AG1" s="41"/>
      <c r="AH1" s="41"/>
    </row>
    <row r="2" spans="1:34" ht="13.5" customHeight="1" x14ac:dyDescent="0.25">
      <c r="A2" s="39"/>
      <c r="B2" s="230" t="s">
        <v>1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 t="s">
        <v>2</v>
      </c>
      <c r="N2" s="230"/>
      <c r="O2" s="230"/>
      <c r="P2" s="230"/>
      <c r="Q2" s="18"/>
      <c r="R2" s="39"/>
      <c r="S2" s="39"/>
      <c r="T2" s="41"/>
      <c r="U2" s="41"/>
      <c r="V2" s="39"/>
      <c r="W2" s="39"/>
      <c r="X2" s="39"/>
      <c r="Y2" s="41"/>
      <c r="Z2" s="41"/>
      <c r="AA2" s="39"/>
      <c r="AF2" s="41"/>
      <c r="AG2" s="41"/>
      <c r="AH2" s="41"/>
    </row>
    <row r="3" spans="1:34" ht="24.95" customHeight="1" x14ac:dyDescent="0.25">
      <c r="A3" s="39"/>
      <c r="B3" s="41"/>
      <c r="C3" s="41"/>
      <c r="D3" s="13"/>
      <c r="E3" s="13"/>
      <c r="F3" s="39"/>
      <c r="G3" s="39"/>
      <c r="H3" s="39"/>
      <c r="I3" s="39"/>
      <c r="J3" s="54"/>
      <c r="K3" s="54"/>
      <c r="L3" s="39"/>
      <c r="M3" s="39"/>
      <c r="N3" s="39"/>
      <c r="O3" s="41"/>
      <c r="P3" s="39"/>
      <c r="Q3" s="39"/>
      <c r="R3" s="39"/>
      <c r="S3" s="39"/>
      <c r="T3" s="41"/>
      <c r="U3" s="41"/>
      <c r="V3" s="39"/>
      <c r="W3" s="39"/>
      <c r="X3" s="39"/>
      <c r="Y3" s="41"/>
      <c r="Z3" s="41"/>
      <c r="AA3" s="39"/>
      <c r="AF3" s="41"/>
      <c r="AG3" s="41"/>
      <c r="AH3" s="41"/>
    </row>
    <row r="4" spans="1:34" ht="47.45" customHeight="1" x14ac:dyDescent="0.2">
      <c r="A4" s="39"/>
      <c r="B4" s="10" t="s">
        <v>3</v>
      </c>
      <c r="C4" s="14" t="s">
        <v>4</v>
      </c>
      <c r="D4" s="14" t="s">
        <v>5</v>
      </c>
      <c r="E4" s="14"/>
      <c r="F4" s="5" t="s">
        <v>6</v>
      </c>
      <c r="G4" s="15" t="s">
        <v>7</v>
      </c>
      <c r="H4" s="16" t="s">
        <v>8</v>
      </c>
      <c r="I4" s="15" t="s">
        <v>9</v>
      </c>
      <c r="J4" s="6" t="s">
        <v>10</v>
      </c>
      <c r="K4" s="7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9" t="s">
        <v>16</v>
      </c>
      <c r="Q4" s="84" t="s">
        <v>17</v>
      </c>
      <c r="R4" s="39"/>
      <c r="S4" s="39"/>
      <c r="T4" s="39"/>
      <c r="U4" s="41"/>
      <c r="V4" s="39"/>
      <c r="W4" s="18" t="s">
        <v>18</v>
      </c>
      <c r="X4" s="39" t="s">
        <v>19</v>
      </c>
      <c r="Y4" s="41" t="s">
        <v>20</v>
      </c>
      <c r="Z4" s="41" t="s">
        <v>21</v>
      </c>
      <c r="AA4" s="39"/>
      <c r="AF4" s="41"/>
      <c r="AG4" s="37"/>
      <c r="AH4" s="37"/>
    </row>
    <row r="5" spans="1:34" ht="21" customHeight="1" x14ac:dyDescent="0.25">
      <c r="A5" s="39">
        <v>1</v>
      </c>
      <c r="B5" s="98"/>
      <c r="C5" s="88"/>
      <c r="D5" s="88"/>
      <c r="E5" s="89" t="e">
        <f>IF(#REF!="CASA",CONCATENATE("C:\Users\studi\Google Drive\CONTABILITA'\",C5,"\",D5," Trimestre\Fatture\",B5,".pdf"),CONCATENATE("C:\Users\Sebastiano\Google Drive\CONTABILITA'\",C5,"\",D5," Trimestre\Fatture\",B5,".pdf"))</f>
        <v>#REF!</v>
      </c>
      <c r="F5" s="90">
        <v>44227</v>
      </c>
      <c r="G5" s="91">
        <v>5</v>
      </c>
      <c r="H5" s="92">
        <f>EOMONTH(F5,0)+G5</f>
        <v>44232</v>
      </c>
      <c r="I5" s="99"/>
      <c r="J5" s="93" t="s">
        <v>22</v>
      </c>
      <c r="K5" s="94" t="s">
        <v>23</v>
      </c>
      <c r="L5" s="95">
        <f>IF($U$7&gt;=A5,IF(Y5="",Z5,Y5),0)+X5</f>
        <v>5587</v>
      </c>
      <c r="M5" s="96">
        <v>0</v>
      </c>
      <c r="N5" s="96">
        <f>IF(Q5="x",0,0.04*L5)</f>
        <v>223.48000000000002</v>
      </c>
      <c r="O5" s="96">
        <v>0</v>
      </c>
      <c r="P5" s="97">
        <f t="shared" ref="P5:P14" si="0">L5+N5+O5</f>
        <v>5810.48</v>
      </c>
      <c r="Q5" s="62"/>
      <c r="R5" s="39"/>
      <c r="S5" s="39"/>
      <c r="T5" s="41"/>
      <c r="U5" s="41"/>
      <c r="V5" s="39"/>
      <c r="W5" s="80"/>
      <c r="X5" s="81">
        <v>3737</v>
      </c>
      <c r="Y5" s="53">
        <v>1850</v>
      </c>
      <c r="Z5" s="53">
        <f>(AH5-W5)*$T$9*$T$8</f>
        <v>1785</v>
      </c>
      <c r="AA5" s="39">
        <f>Y5/Z5</f>
        <v>1.0364145658263306</v>
      </c>
      <c r="AF5" s="59">
        <v>44197</v>
      </c>
      <c r="AG5" s="59">
        <f>AF6-1</f>
        <v>44227</v>
      </c>
      <c r="AH5" s="41">
        <f>NETWORKDAYS(AF5,AG5)</f>
        <v>21</v>
      </c>
    </row>
    <row r="6" spans="1:34" ht="21" customHeight="1" x14ac:dyDescent="0.25">
      <c r="A6" s="39">
        <v>2</v>
      </c>
      <c r="B6" s="98"/>
      <c r="C6" s="88"/>
      <c r="D6" s="88"/>
      <c r="E6" s="89" t="e">
        <f>IF(#REF!="CASA",CONCATENATE("C:\Users\studi\Google Drive\CONTABILITA'\2019\",D6," Trimestre\Fatture\",B6,".pdf"),CONCATENATE("C:\Users\Sebastiano\Google Drive\CONTABILITA'\2019\",D6," Trimestre\Fatture\",B6,".pdf"))</f>
        <v>#REF!</v>
      </c>
      <c r="F6" s="90">
        <v>44255</v>
      </c>
      <c r="G6" s="91">
        <v>5</v>
      </c>
      <c r="H6" s="92">
        <f t="shared" ref="H6:H19" si="1">EOMONTH(F6,0)+G6</f>
        <v>44260</v>
      </c>
      <c r="I6" s="99"/>
      <c r="J6" s="93" t="s">
        <v>22</v>
      </c>
      <c r="K6" s="94" t="s">
        <v>23</v>
      </c>
      <c r="L6" s="95">
        <f>IF($U$7&gt;=A6,IF(Y6="",Z6,Y6),0)+X6</f>
        <v>5260</v>
      </c>
      <c r="M6" s="96">
        <v>0</v>
      </c>
      <c r="N6" s="96">
        <f t="shared" ref="N6:N19" si="2">IF(Q6="x",0,0.04*L6)</f>
        <v>210.4</v>
      </c>
      <c r="O6" s="96">
        <v>0</v>
      </c>
      <c r="P6" s="97">
        <f t="shared" si="0"/>
        <v>5470.4</v>
      </c>
      <c r="Q6" s="62"/>
      <c r="R6" s="39"/>
      <c r="S6" s="62"/>
      <c r="T6" s="41" t="s">
        <v>24</v>
      </c>
      <c r="U6" s="41" t="s">
        <v>25</v>
      </c>
      <c r="V6" s="39"/>
      <c r="W6" s="80"/>
      <c r="X6" s="81">
        <v>3500</v>
      </c>
      <c r="Y6" s="53">
        <v>1760</v>
      </c>
      <c r="Z6" s="53">
        <f>(AH6-W6)*$T$9*$T$8</f>
        <v>1700</v>
      </c>
      <c r="AA6" s="39">
        <f>Y6/Z6</f>
        <v>1.0352941176470589</v>
      </c>
      <c r="AF6" s="59">
        <v>44228</v>
      </c>
      <c r="AG6" s="59">
        <f t="shared" ref="AG6:AG16" si="3">AF7-1</f>
        <v>44255</v>
      </c>
      <c r="AH6" s="41">
        <f>NETWORKDAYS(AF6,AG6)</f>
        <v>20</v>
      </c>
    </row>
    <row r="7" spans="1:34" ht="21" customHeight="1" x14ac:dyDescent="0.25">
      <c r="A7" s="39">
        <v>3</v>
      </c>
      <c r="B7" s="98"/>
      <c r="C7" s="88"/>
      <c r="D7" s="88"/>
      <c r="E7" s="89" t="e">
        <f>IF(#REF!="CASA",CONCATENATE("C:\Users\studi\Google Drive\CONTABILITA'\2019\",D7," Trimestre\Fatture\",B7,".pdf"),CONCATENATE("C:\Users\Sebastiano\Google Drive\CONTABILITA'\2019\",D7," Trimestre\Fatture\",B7,".pdf"))</f>
        <v>#REF!</v>
      </c>
      <c r="F7" s="90">
        <v>44286</v>
      </c>
      <c r="G7" s="91">
        <v>5</v>
      </c>
      <c r="H7" s="92">
        <f t="shared" si="1"/>
        <v>44291</v>
      </c>
      <c r="I7" s="99"/>
      <c r="J7" s="93" t="s">
        <v>22</v>
      </c>
      <c r="K7" s="94" t="s">
        <v>23</v>
      </c>
      <c r="L7" s="95">
        <f>IF($U$7&gt;=A7,IF(Y7="",Z7,Y7),0)+X7</f>
        <v>2005</v>
      </c>
      <c r="M7" s="96">
        <v>0</v>
      </c>
      <c r="N7" s="96">
        <f t="shared" si="2"/>
        <v>80.2</v>
      </c>
      <c r="O7" s="96">
        <v>0</v>
      </c>
      <c r="P7" s="97">
        <f t="shared" si="0"/>
        <v>2085.1999999999998</v>
      </c>
      <c r="Q7" s="62"/>
      <c r="R7" s="39"/>
      <c r="S7" s="42" t="s">
        <v>26</v>
      </c>
      <c r="T7" s="41">
        <v>5</v>
      </c>
      <c r="U7" s="41">
        <v>12</v>
      </c>
      <c r="V7" s="39"/>
      <c r="W7" s="80"/>
      <c r="X7" s="81"/>
      <c r="Y7" s="53">
        <v>2005</v>
      </c>
      <c r="Z7" s="53">
        <f>(AH7-W7)*$T$9*$T$8</f>
        <v>1955</v>
      </c>
      <c r="AA7" s="39">
        <f>Y7/Z7</f>
        <v>1.0255754475703325</v>
      </c>
      <c r="AF7" s="59">
        <v>44256</v>
      </c>
      <c r="AG7" s="59">
        <f t="shared" si="3"/>
        <v>44286</v>
      </c>
      <c r="AH7" s="41">
        <f t="shared" ref="AH7:AH16" si="4">NETWORKDAYS(AF7,AG7)</f>
        <v>23</v>
      </c>
    </row>
    <row r="8" spans="1:34" ht="21" customHeight="1" x14ac:dyDescent="0.25">
      <c r="A8" s="39">
        <v>4</v>
      </c>
      <c r="B8" s="98"/>
      <c r="C8" s="88"/>
      <c r="D8" s="88"/>
      <c r="E8" s="89" t="e">
        <f>IF(#REF!="CASA",CONCATENATE("C:\Users\studi\Google Drive\CONTABILITA'\2020\",D8," Trimestre\Fatture\",B8,".pdf"),CONCATENATE("C:\Users\Sebastiano\Google Drive\CONTABILITA'\2020\",D8," Trimestre\Fatture\",B8,".pdf"))</f>
        <v>#REF!</v>
      </c>
      <c r="F8" s="90">
        <v>44316</v>
      </c>
      <c r="G8" s="91">
        <v>5</v>
      </c>
      <c r="H8" s="92">
        <f t="shared" si="1"/>
        <v>44321</v>
      </c>
      <c r="I8" s="100"/>
      <c r="J8" s="93" t="s">
        <v>22</v>
      </c>
      <c r="K8" s="94" t="s">
        <v>23</v>
      </c>
      <c r="L8" s="95">
        <f>IF($U$7&gt;=A8,IF(Y8="",Z8,Y8),0)+X8</f>
        <v>2020</v>
      </c>
      <c r="M8" s="96">
        <v>0</v>
      </c>
      <c r="N8" s="96">
        <f t="shared" si="2"/>
        <v>80.8</v>
      </c>
      <c r="O8" s="96">
        <v>0</v>
      </c>
      <c r="P8" s="97">
        <f t="shared" si="0"/>
        <v>2100.8000000000002</v>
      </c>
      <c r="Q8" s="62"/>
      <c r="R8" s="39"/>
      <c r="S8" s="39"/>
      <c r="T8" s="40">
        <v>10</v>
      </c>
      <c r="U8" s="41"/>
      <c r="V8" s="39"/>
      <c r="W8" s="80"/>
      <c r="X8" s="39"/>
      <c r="Y8" s="82">
        <v>2020</v>
      </c>
      <c r="Z8" s="53">
        <f>(AH8-W8+2)*$T$9*$T$8</f>
        <v>2040</v>
      </c>
      <c r="AA8" s="39"/>
      <c r="AF8" s="59">
        <v>44287</v>
      </c>
      <c r="AG8" s="59">
        <f t="shared" si="3"/>
        <v>44316</v>
      </c>
      <c r="AH8" s="41">
        <f t="shared" si="4"/>
        <v>22</v>
      </c>
    </row>
    <row r="9" spans="1:34" ht="21" customHeight="1" x14ac:dyDescent="0.25">
      <c r="A9" s="39">
        <v>5</v>
      </c>
      <c r="B9" s="101"/>
      <c r="C9" s="102"/>
      <c r="D9" s="102"/>
      <c r="E9" s="103" t="e">
        <f>IF(#REF!="CASA",CONCATENATE("C:\Users\studi\Google Drive\CONTABILITA'\2020\Fatture\",D9," Trimestre\",B9,".pdf"),CONCATENATE("C:\Users\Sebastiano\Google Drive\CONTABILITA'\2020\Fatture\",D9," Trimestre\",B9,".pdf"))</f>
        <v>#REF!</v>
      </c>
      <c r="F9" s="104">
        <v>44347</v>
      </c>
      <c r="G9" s="105">
        <v>5</v>
      </c>
      <c r="H9" s="106">
        <f t="shared" si="1"/>
        <v>44352</v>
      </c>
      <c r="I9" s="107"/>
      <c r="J9" s="108" t="s">
        <v>22</v>
      </c>
      <c r="K9" s="109" t="s">
        <v>27</v>
      </c>
      <c r="L9" s="110">
        <v>2500</v>
      </c>
      <c r="M9" s="111">
        <v>0</v>
      </c>
      <c r="N9" s="111">
        <v>0</v>
      </c>
      <c r="O9" s="111">
        <v>2</v>
      </c>
      <c r="P9" s="112">
        <f t="shared" si="0"/>
        <v>2502</v>
      </c>
      <c r="Q9" s="62" t="s">
        <v>22</v>
      </c>
      <c r="R9" s="39"/>
      <c r="S9" s="41" t="s">
        <v>28</v>
      </c>
      <c r="T9" s="42">
        <v>8.5</v>
      </c>
      <c r="U9" s="41"/>
      <c r="V9" s="39"/>
      <c r="W9" s="80"/>
      <c r="X9" s="39"/>
      <c r="Y9" s="82">
        <v>2502</v>
      </c>
      <c r="Z9" s="53">
        <v>2500</v>
      </c>
      <c r="AA9" s="39"/>
      <c r="AF9" s="59">
        <v>44317</v>
      </c>
      <c r="AG9" s="59">
        <f>AF11-1</f>
        <v>44347</v>
      </c>
      <c r="AH9" s="41">
        <f t="shared" si="4"/>
        <v>21</v>
      </c>
    </row>
    <row r="10" spans="1:34" ht="21" customHeight="1" x14ac:dyDescent="0.25">
      <c r="A10" s="39">
        <v>6</v>
      </c>
      <c r="B10" s="101"/>
      <c r="C10" s="102"/>
      <c r="D10" s="102"/>
      <c r="E10" s="103"/>
      <c r="F10" s="104">
        <v>44376</v>
      </c>
      <c r="G10" s="105">
        <v>4</v>
      </c>
      <c r="H10" s="106">
        <f>EOMONTH(F10,0)+G10</f>
        <v>44381</v>
      </c>
      <c r="I10" s="107"/>
      <c r="J10" s="108" t="s">
        <v>22</v>
      </c>
      <c r="K10" s="109" t="s">
        <v>27</v>
      </c>
      <c r="L10" s="110">
        <f>IF($U$7&gt;=A10,IF(Y10="",Z10,Y10),0)+X10</f>
        <v>1400</v>
      </c>
      <c r="M10" s="111">
        <v>0</v>
      </c>
      <c r="N10" s="111">
        <f>IF(Q10="x",0,0.04*L10)</f>
        <v>0</v>
      </c>
      <c r="O10" s="111">
        <v>2</v>
      </c>
      <c r="P10" s="112">
        <f>L10+N10+O10</f>
        <v>1402</v>
      </c>
      <c r="Q10" s="62" t="s">
        <v>22</v>
      </c>
      <c r="R10" s="39"/>
      <c r="S10" s="41"/>
      <c r="T10" s="42"/>
      <c r="U10" s="41"/>
      <c r="V10" s="39"/>
      <c r="W10" s="80"/>
      <c r="X10" s="39"/>
      <c r="Y10" s="82">
        <v>1400</v>
      </c>
      <c r="Z10" s="53">
        <v>1400</v>
      </c>
      <c r="AA10" s="39"/>
      <c r="AF10" s="59"/>
      <c r="AG10" s="59"/>
      <c r="AH10" s="41"/>
    </row>
    <row r="11" spans="1:34" ht="21" customHeight="1" x14ac:dyDescent="0.25">
      <c r="A11" s="39">
        <v>7</v>
      </c>
      <c r="B11" s="101"/>
      <c r="C11" s="102"/>
      <c r="D11" s="102"/>
      <c r="E11" s="103" t="e">
        <f>IF(#REF!="CASA",CONCATENATE("C:\Users\studi\Google Drive\CONTABILITA'\2020\Fatture\",D11," Trimestre\",B11,".pdf"),CONCATENATE("C:\Users\Sebastiano\Google Drive\CONTABILITA'\2020\Fatture\",D11," Trimestre\",B11,".pdf"))</f>
        <v>#REF!</v>
      </c>
      <c r="F11" s="104">
        <v>44377</v>
      </c>
      <c r="G11" s="105">
        <v>5</v>
      </c>
      <c r="H11" s="106">
        <f t="shared" si="1"/>
        <v>44382</v>
      </c>
      <c r="I11" s="107"/>
      <c r="J11" s="108" t="s">
        <v>22</v>
      </c>
      <c r="K11" s="109" t="s">
        <v>27</v>
      </c>
      <c r="L11" s="110">
        <v>1100</v>
      </c>
      <c r="M11" s="111">
        <v>0</v>
      </c>
      <c r="N11" s="111">
        <f t="shared" si="2"/>
        <v>44</v>
      </c>
      <c r="O11" s="111">
        <v>2</v>
      </c>
      <c r="P11" s="112">
        <f t="shared" si="0"/>
        <v>1146</v>
      </c>
      <c r="Q11" s="62"/>
      <c r="R11" s="39"/>
      <c r="S11" s="41" t="s">
        <v>29</v>
      </c>
      <c r="T11" s="42">
        <v>21.5</v>
      </c>
      <c r="U11" s="41">
        <f>T11*T9</f>
        <v>182.75</v>
      </c>
      <c r="V11" s="39"/>
      <c r="W11" s="80"/>
      <c r="X11" s="39"/>
      <c r="Y11" s="82">
        <v>1550</v>
      </c>
      <c r="Z11" s="53">
        <v>1100</v>
      </c>
      <c r="AA11" s="39"/>
      <c r="AF11" s="59">
        <v>44348</v>
      </c>
      <c r="AG11" s="59">
        <f t="shared" si="3"/>
        <v>44377</v>
      </c>
      <c r="AH11" s="41">
        <f t="shared" si="4"/>
        <v>22</v>
      </c>
    </row>
    <row r="12" spans="1:34" ht="21" customHeight="1" x14ac:dyDescent="0.25">
      <c r="A12" s="39">
        <v>8</v>
      </c>
      <c r="B12" s="101"/>
      <c r="C12" s="102"/>
      <c r="D12" s="102"/>
      <c r="E12" s="103" t="e">
        <f>IF(#REF!="CASA",CONCATENATE("C:\Users\studi\Google Drive\CONTABILITA'\2020\Fatture\",D12," Trimestre\",B12,".pdf"),CONCATENATE("C:\Users\Sebastiano\Google Drive\CONTABILITA'\2020\Fatture\",D12," Trimestre\",B12,".pdf"))</f>
        <v>#REF!</v>
      </c>
      <c r="F12" s="104">
        <v>44408</v>
      </c>
      <c r="G12" s="105">
        <v>5</v>
      </c>
      <c r="H12" s="106">
        <f t="shared" si="1"/>
        <v>44413</v>
      </c>
      <c r="I12" s="107"/>
      <c r="J12" s="108" t="s">
        <v>22</v>
      </c>
      <c r="K12" s="109" t="s">
        <v>27</v>
      </c>
      <c r="L12" s="110">
        <v>2500</v>
      </c>
      <c r="M12" s="111">
        <v>0</v>
      </c>
      <c r="N12" s="111">
        <f t="shared" si="2"/>
        <v>0</v>
      </c>
      <c r="O12" s="111">
        <v>2</v>
      </c>
      <c r="P12" s="112">
        <f t="shared" si="0"/>
        <v>2502</v>
      </c>
      <c r="Q12" s="62" t="s">
        <v>22</v>
      </c>
      <c r="R12" s="39"/>
      <c r="S12" s="43" t="s">
        <v>30</v>
      </c>
      <c r="T12" s="44">
        <f>+T11*T9*T8</f>
        <v>1827.5</v>
      </c>
      <c r="U12" s="49"/>
      <c r="V12" s="39"/>
      <c r="W12" s="80"/>
      <c r="X12" s="39"/>
      <c r="Y12" s="82">
        <v>1550</v>
      </c>
      <c r="Z12" s="53">
        <v>2500</v>
      </c>
      <c r="AA12" s="39"/>
      <c r="AF12" s="59">
        <v>44378</v>
      </c>
      <c r="AG12" s="59">
        <f t="shared" si="3"/>
        <v>44408</v>
      </c>
      <c r="AH12" s="41">
        <f t="shared" si="4"/>
        <v>22</v>
      </c>
    </row>
    <row r="13" spans="1:34" ht="21" customHeight="1" x14ac:dyDescent="0.25">
      <c r="A13" s="39">
        <v>9</v>
      </c>
      <c r="B13" s="101"/>
      <c r="C13" s="102"/>
      <c r="D13" s="102"/>
      <c r="E13" s="103" t="e">
        <f>IF(#REF!="CASA",CONCATENATE("C:\Users\studi\Google Drive\CONTABILITA'\2020\Fatture\",D13," Trimestre\",B13,".pdf"),CONCATENATE("C:\Users\Sebastiano\Google Drive\CONTABILITA'\2020\Fatture\",D13," Trimestre\",B13,".pdf"))</f>
        <v>#REF!</v>
      </c>
      <c r="F13" s="104">
        <v>44439</v>
      </c>
      <c r="G13" s="105">
        <v>5</v>
      </c>
      <c r="H13" s="106">
        <f t="shared" si="1"/>
        <v>44444</v>
      </c>
      <c r="I13" s="113"/>
      <c r="J13" s="108" t="s">
        <v>22</v>
      </c>
      <c r="K13" s="109" t="s">
        <v>27</v>
      </c>
      <c r="L13" s="110">
        <f>IF($U$7&gt;=A13,IF(Y13="",Z13,Y13),0)+X13</f>
        <v>2500</v>
      </c>
      <c r="M13" s="111">
        <v>0</v>
      </c>
      <c r="N13" s="111">
        <f t="shared" si="2"/>
        <v>0</v>
      </c>
      <c r="O13" s="111">
        <v>2</v>
      </c>
      <c r="P13" s="112">
        <f t="shared" si="0"/>
        <v>2502</v>
      </c>
      <c r="Q13" s="62" t="s">
        <v>22</v>
      </c>
      <c r="R13" s="39"/>
      <c r="S13" s="39"/>
      <c r="T13" s="39"/>
      <c r="U13" s="41"/>
      <c r="V13" s="39"/>
      <c r="W13" s="80"/>
      <c r="X13" s="39"/>
      <c r="Y13" s="82">
        <v>2500</v>
      </c>
      <c r="Z13" s="53">
        <v>2500</v>
      </c>
      <c r="AA13" s="39"/>
      <c r="AF13" s="59">
        <v>44409</v>
      </c>
      <c r="AG13" s="59">
        <f t="shared" si="3"/>
        <v>44439</v>
      </c>
      <c r="AH13" s="41">
        <f t="shared" si="4"/>
        <v>22</v>
      </c>
    </row>
    <row r="14" spans="1:34" ht="21" customHeight="1" x14ac:dyDescent="0.25">
      <c r="A14" s="39">
        <v>10</v>
      </c>
      <c r="B14" s="101"/>
      <c r="C14" s="102"/>
      <c r="D14" s="102"/>
      <c r="E14" s="103" t="e">
        <f>IF(#REF!="CASA",CONCATENATE("C:\Users\studi\Google Drive\CONTABILITA'\2020\Fatture\",D14," Trimestre\",B14,".pdf"),CONCATENATE("C:\Users\Sebastiano\Google Drive\CONTABILITA'\2020\Fatture\",D14," Trimestre\",B14,".pdf"))</f>
        <v>#REF!</v>
      </c>
      <c r="F14" s="104">
        <v>44469</v>
      </c>
      <c r="G14" s="105">
        <v>5</v>
      </c>
      <c r="H14" s="106">
        <f t="shared" si="1"/>
        <v>44474</v>
      </c>
      <c r="I14" s="113"/>
      <c r="J14" s="108" t="s">
        <v>22</v>
      </c>
      <c r="K14" s="109" t="s">
        <v>27</v>
      </c>
      <c r="L14" s="110">
        <f>IF($U$7&gt;=A14,IF(Y14="",Z14,Y14),0)+X14</f>
        <v>2800</v>
      </c>
      <c r="M14" s="111">
        <v>0</v>
      </c>
      <c r="N14" s="111">
        <f t="shared" si="2"/>
        <v>0</v>
      </c>
      <c r="O14" s="111">
        <v>2</v>
      </c>
      <c r="P14" s="112">
        <f t="shared" si="0"/>
        <v>2802</v>
      </c>
      <c r="Q14" s="62" t="s">
        <v>22</v>
      </c>
      <c r="R14" s="61"/>
      <c r="S14" s="39"/>
      <c r="T14" s="3" t="s">
        <v>31</v>
      </c>
      <c r="U14" s="18">
        <v>0.78</v>
      </c>
      <c r="V14" s="39"/>
      <c r="W14" s="80"/>
      <c r="X14" s="39"/>
      <c r="Y14" s="82">
        <v>2800</v>
      </c>
      <c r="Z14" s="53">
        <v>2500</v>
      </c>
      <c r="AA14" s="39"/>
      <c r="AF14" s="59">
        <v>44440</v>
      </c>
      <c r="AG14" s="59">
        <f t="shared" si="3"/>
        <v>44469</v>
      </c>
      <c r="AH14" s="41">
        <f t="shared" si="4"/>
        <v>22</v>
      </c>
    </row>
    <row r="15" spans="1:34" ht="21" customHeight="1" x14ac:dyDescent="0.25">
      <c r="A15" s="39">
        <v>11</v>
      </c>
      <c r="B15" s="101"/>
      <c r="C15" s="102"/>
      <c r="D15" s="102"/>
      <c r="E15" s="103" t="e">
        <f>IF(#REF!="CASA",CONCATENATE("C:\Users\studi\Google Drive\CONTABILITA'\2020\Fatture\",D15," Trimestre\",B15,".pdf"),CONCATENATE("C:\Users\Sebastiano\Google Drive\CONTABILITA'\2020\Fatture\",D15," Trimestre\",B15,".pdf"))</f>
        <v>#REF!</v>
      </c>
      <c r="F15" s="104">
        <v>44500</v>
      </c>
      <c r="G15" s="105">
        <v>5</v>
      </c>
      <c r="H15" s="106">
        <f t="shared" si="1"/>
        <v>44505</v>
      </c>
      <c r="I15" s="107"/>
      <c r="J15" s="108" t="s">
        <v>22</v>
      </c>
      <c r="K15" s="109" t="s">
        <v>27</v>
      </c>
      <c r="L15" s="110">
        <v>1550</v>
      </c>
      <c r="M15" s="111">
        <v>0</v>
      </c>
      <c r="N15" s="111">
        <f t="shared" si="2"/>
        <v>0</v>
      </c>
      <c r="O15" s="111">
        <v>2</v>
      </c>
      <c r="P15" s="112">
        <f t="shared" ref="P15:P19" si="5">L15+N15+O15</f>
        <v>1552</v>
      </c>
      <c r="Q15" s="62" t="s">
        <v>22</v>
      </c>
      <c r="R15" s="39"/>
      <c r="S15" s="39"/>
      <c r="T15" s="41"/>
      <c r="U15" s="18"/>
      <c r="V15" s="17"/>
      <c r="W15" s="80"/>
      <c r="X15" s="39"/>
      <c r="Y15" s="82">
        <v>3100</v>
      </c>
      <c r="Z15" s="53">
        <v>2500</v>
      </c>
      <c r="AA15" s="39"/>
      <c r="AF15" s="59">
        <v>44470</v>
      </c>
      <c r="AG15" s="59">
        <f t="shared" si="3"/>
        <v>44500</v>
      </c>
      <c r="AH15" s="41">
        <f t="shared" si="4"/>
        <v>21</v>
      </c>
    </row>
    <row r="16" spans="1:34" ht="21" customHeight="1" x14ac:dyDescent="0.25">
      <c r="A16" s="39">
        <v>12</v>
      </c>
      <c r="B16" s="114"/>
      <c r="C16" s="102"/>
      <c r="D16" s="102"/>
      <c r="E16" s="103" t="e">
        <f>IF(#REF!="CASA",CONCATENATE("C:\Users\studi\Google Drive\CONTABILITA'\2020\Fatture\",D16," Trimestre\",B16,".pdf"),CONCATENATE("C:\Users\Sebastiano\Google Drive\CONTABILITA'\2020\Fatture\",D16," Trimestre\",B16,".pdf"))</f>
        <v>#REF!</v>
      </c>
      <c r="F16" s="104">
        <v>44500</v>
      </c>
      <c r="G16" s="105">
        <v>5</v>
      </c>
      <c r="H16" s="106">
        <f t="shared" si="1"/>
        <v>44505</v>
      </c>
      <c r="I16" s="113"/>
      <c r="J16" s="108" t="s">
        <v>22</v>
      </c>
      <c r="K16" s="109" t="s">
        <v>27</v>
      </c>
      <c r="L16" s="110">
        <v>1550</v>
      </c>
      <c r="M16" s="111">
        <v>0</v>
      </c>
      <c r="N16" s="111">
        <f t="shared" si="2"/>
        <v>62</v>
      </c>
      <c r="O16" s="111">
        <v>2</v>
      </c>
      <c r="P16" s="112">
        <f t="shared" si="5"/>
        <v>1614</v>
      </c>
      <c r="Q16" s="62"/>
      <c r="R16" s="39"/>
      <c r="S16" s="39"/>
      <c r="T16" s="17" t="s">
        <v>32</v>
      </c>
      <c r="U16" s="62"/>
      <c r="V16" s="3"/>
      <c r="W16" s="80"/>
      <c r="X16" s="39"/>
      <c r="Y16" s="82"/>
      <c r="Z16" s="53">
        <v>2500</v>
      </c>
      <c r="AA16" s="39"/>
      <c r="AF16" s="59">
        <v>44501</v>
      </c>
      <c r="AG16" s="59">
        <f t="shared" si="3"/>
        <v>-1</v>
      </c>
      <c r="AH16" s="41" t="e">
        <f t="shared" si="4"/>
        <v>#NUM!</v>
      </c>
    </row>
    <row r="17" spans="1:34" ht="21" customHeight="1" x14ac:dyDescent="0.25">
      <c r="A17" s="39">
        <v>13</v>
      </c>
      <c r="B17" s="114"/>
      <c r="C17" s="102"/>
      <c r="D17" s="102"/>
      <c r="E17" s="103" t="e">
        <f>IF(#REF!="CASA",CONCATENATE("C:\Users\studi\Google Drive\CONTABILITA'\2020\Fatture\",D17," Trimestre\",B17,".pdf"),CONCATENATE("C:\Users\Sebastiano\Google Drive\CONTABILITA'\2020\Fatture\",D17," Trimestre\",B17,".pdf"))</f>
        <v>#REF!</v>
      </c>
      <c r="F17" s="104">
        <v>44530</v>
      </c>
      <c r="G17" s="105">
        <v>5</v>
      </c>
      <c r="H17" s="106">
        <f t="shared" si="1"/>
        <v>44535</v>
      </c>
      <c r="I17" s="113"/>
      <c r="J17" s="108" t="s">
        <v>22</v>
      </c>
      <c r="K17" s="109" t="s">
        <v>27</v>
      </c>
      <c r="L17" s="110">
        <v>2500</v>
      </c>
      <c r="M17" s="111">
        <v>0</v>
      </c>
      <c r="N17" s="111">
        <f t="shared" si="2"/>
        <v>100</v>
      </c>
      <c r="O17" s="111">
        <v>2</v>
      </c>
      <c r="P17" s="112">
        <f t="shared" si="5"/>
        <v>2602</v>
      </c>
      <c r="Q17" s="62"/>
      <c r="R17" s="39"/>
      <c r="S17" s="36" t="s">
        <v>33</v>
      </c>
      <c r="T17" s="62">
        <f>L28</f>
        <v>38022</v>
      </c>
      <c r="U17" s="62"/>
      <c r="V17" s="36"/>
      <c r="W17" s="63"/>
      <c r="X17" s="39"/>
      <c r="Y17" s="82"/>
      <c r="Z17" s="53">
        <v>2500</v>
      </c>
      <c r="AA17" s="39"/>
      <c r="AF17" s="59"/>
      <c r="AG17" s="41"/>
      <c r="AH17" s="63"/>
    </row>
    <row r="18" spans="1:34" ht="21" customHeight="1" x14ac:dyDescent="0.25">
      <c r="A18" s="39">
        <v>14</v>
      </c>
      <c r="B18" s="115"/>
      <c r="C18" s="116"/>
      <c r="D18" s="116"/>
      <c r="E18" s="117" t="e">
        <f>IF(#REF!="CASA",CONCATENATE("C:\Users\studi\Google Drive\CONTABILITA'\2020\Fatture\",D18," Trimestre\",B18,".pdf"),CONCATENATE("C:\Users\Sebastiano\Google Drive\CONTABILITA'\2020\Fatture\",D18," Trimestre\",B18,".pdf"))</f>
        <v>#REF!</v>
      </c>
      <c r="F18" s="118">
        <v>44549</v>
      </c>
      <c r="G18" s="119">
        <v>5</v>
      </c>
      <c r="H18" s="120">
        <f t="shared" si="1"/>
        <v>44566</v>
      </c>
      <c r="I18" s="121"/>
      <c r="J18" s="122" t="s">
        <v>22</v>
      </c>
      <c r="K18" s="123" t="s">
        <v>34</v>
      </c>
      <c r="L18" s="124">
        <v>1250</v>
      </c>
      <c r="M18" s="125">
        <v>0</v>
      </c>
      <c r="N18" s="125">
        <f t="shared" si="2"/>
        <v>50</v>
      </c>
      <c r="O18" s="125">
        <v>2</v>
      </c>
      <c r="P18" s="126">
        <f t="shared" si="5"/>
        <v>1302</v>
      </c>
      <c r="Q18" s="62"/>
      <c r="R18" s="39"/>
      <c r="S18" s="39" t="s">
        <v>35</v>
      </c>
      <c r="T18" s="62">
        <f>T17+SUMIF(J5:J26,"x",(O5:O26))</f>
        <v>38044</v>
      </c>
      <c r="U18" s="62"/>
      <c r="V18" s="36"/>
      <c r="W18" s="63"/>
      <c r="X18" s="39"/>
      <c r="Y18" s="41"/>
      <c r="Z18" s="53"/>
      <c r="AA18" s="39"/>
      <c r="AF18" s="59"/>
      <c r="AG18" s="41"/>
      <c r="AH18" s="63"/>
    </row>
    <row r="19" spans="1:34" ht="21" customHeight="1" x14ac:dyDescent="0.25">
      <c r="A19" s="39">
        <v>15</v>
      </c>
      <c r="B19" s="115"/>
      <c r="C19" s="116"/>
      <c r="D19" s="116"/>
      <c r="E19" s="117" t="e">
        <f>IF(#REF!="CASA",CONCATENATE("C:\Users\studi\Google Drive\CONTABILITA'\2020\Fatture\",D19," Trimestre\",B19,".pdf"),CONCATENATE("C:\Users\Sebastiano\Google Drive\CONTABILITA'\2020\Fatture\",D19," Trimestre\",B19,".pdf"))</f>
        <v>#REF!</v>
      </c>
      <c r="F19" s="118">
        <v>44557</v>
      </c>
      <c r="G19" s="119">
        <v>5</v>
      </c>
      <c r="H19" s="120">
        <f t="shared" si="1"/>
        <v>44566</v>
      </c>
      <c r="I19" s="121"/>
      <c r="J19" s="122" t="s">
        <v>22</v>
      </c>
      <c r="K19" s="123" t="s">
        <v>36</v>
      </c>
      <c r="L19" s="124">
        <v>3500</v>
      </c>
      <c r="M19" s="125">
        <v>0</v>
      </c>
      <c r="N19" s="125">
        <f t="shared" si="2"/>
        <v>140</v>
      </c>
      <c r="O19" s="127">
        <v>2</v>
      </c>
      <c r="P19" s="126">
        <f t="shared" si="5"/>
        <v>3642</v>
      </c>
      <c r="Q19" s="62"/>
      <c r="R19" s="39"/>
      <c r="S19" s="36" t="s">
        <v>37</v>
      </c>
      <c r="T19" s="62"/>
      <c r="U19" s="62"/>
      <c r="V19" s="36"/>
      <c r="W19" s="63"/>
      <c r="X19" s="39"/>
      <c r="Y19" s="41"/>
      <c r="Z19" s="41"/>
      <c r="AA19" s="39"/>
      <c r="AF19" s="41"/>
      <c r="AG19" s="41"/>
      <c r="AH19" s="63"/>
    </row>
    <row r="20" spans="1:34" ht="21" customHeight="1" x14ac:dyDescent="0.25">
      <c r="A20" s="39">
        <v>16</v>
      </c>
      <c r="B20" s="31"/>
      <c r="C20" s="32"/>
      <c r="D20" s="32"/>
      <c r="E20" s="55" t="e">
        <f>IF(#REF!="CASA",CONCATENATE("C:\Users\studi\Google Drive\CONTABILITA'\2020\Fatture\",D20," Trimestre\",B20,".pdf"),CONCATENATE("C:\Users\Sebastiano\Google Drive\CONTABILITA'\2020\Fatture\",D20," Trimestre\",B20,".pdf"))</f>
        <v>#REF!</v>
      </c>
      <c r="F20" s="26"/>
      <c r="G20" s="27"/>
      <c r="H20" s="56"/>
      <c r="I20" s="22"/>
      <c r="J20" s="45"/>
      <c r="K20" s="48"/>
      <c r="L20" s="24"/>
      <c r="M20" s="57"/>
      <c r="N20" s="57"/>
      <c r="O20" s="57"/>
      <c r="P20" s="58"/>
      <c r="Q20" s="62"/>
      <c r="R20" s="39"/>
      <c r="S20" s="36" t="s">
        <v>38</v>
      </c>
      <c r="T20" s="62">
        <f>ROUND(T17*0.78,0)</f>
        <v>29657</v>
      </c>
      <c r="U20" s="4"/>
      <c r="V20" s="36"/>
      <c r="W20" s="63"/>
      <c r="X20" s="39"/>
      <c r="Y20" s="41"/>
      <c r="Z20" s="41"/>
      <c r="AA20" s="39"/>
      <c r="AF20" s="41"/>
      <c r="AG20" s="41"/>
      <c r="AH20" s="63"/>
    </row>
    <row r="21" spans="1:34" ht="21" customHeight="1" x14ac:dyDescent="0.25">
      <c r="A21" s="39">
        <v>17</v>
      </c>
      <c r="B21" s="31"/>
      <c r="C21" s="32"/>
      <c r="D21" s="32"/>
      <c r="E21" s="55" t="e">
        <f>IF(#REF!="CASA",CONCATENATE("C:\Users\studi\Google Drive\CONTABILITA'\2020\Fatture\",D21," Trimestre\",B21,".pdf"),CONCATENATE("C:\Users\Sebastiano\Google Drive\CONTABILITA'\2020\Fatture\",D21," Trimestre\",B21,".pdf"))</f>
        <v>#REF!</v>
      </c>
      <c r="F21" s="26"/>
      <c r="G21" s="27"/>
      <c r="H21" s="64"/>
      <c r="I21" s="22"/>
      <c r="J21" s="45" t="str">
        <f t="shared" ref="J21:J26" si="6">IF(I21&lt;&gt;"","x","")</f>
        <v/>
      </c>
      <c r="K21" s="48"/>
      <c r="L21" s="24"/>
      <c r="M21" s="57"/>
      <c r="N21" s="57"/>
      <c r="O21" s="60"/>
      <c r="P21" s="58"/>
      <c r="Q21" s="62"/>
      <c r="R21" s="39"/>
      <c r="S21" s="36" t="s">
        <v>39</v>
      </c>
      <c r="T21" s="4">
        <f>0.15*T20</f>
        <v>4448.55</v>
      </c>
      <c r="U21" s="41"/>
      <c r="V21" s="36"/>
      <c r="W21" s="63"/>
      <c r="X21" s="39"/>
      <c r="Y21" s="41"/>
      <c r="Z21" s="41"/>
      <c r="AA21" s="39"/>
      <c r="AF21" s="41"/>
      <c r="AG21" s="41"/>
      <c r="AH21" s="63"/>
    </row>
    <row r="22" spans="1:34" ht="21" customHeight="1" x14ac:dyDescent="0.25">
      <c r="A22" s="39">
        <v>18</v>
      </c>
      <c r="B22" s="31"/>
      <c r="C22" s="32"/>
      <c r="D22" s="32"/>
      <c r="E22" s="55" t="e">
        <f>IF(#REF!="CASA",CONCATENATE("C:\Users\studi\Google Drive\CONTABILITA'\2020\Fatture\",D22," Trimestre\",B22,".pdf"),CONCATENATE("C:\Users\Sebastiano\Google Drive\CONTABILITA'\2020\Fatture\",D22," Trimestre\",B22,".pdf"))</f>
        <v>#REF!</v>
      </c>
      <c r="F22" s="26"/>
      <c r="G22" s="28"/>
      <c r="H22" s="64"/>
      <c r="I22" s="22"/>
      <c r="J22" s="45" t="str">
        <f t="shared" si="6"/>
        <v/>
      </c>
      <c r="K22" s="48"/>
      <c r="L22" s="24"/>
      <c r="M22" s="60"/>
      <c r="N22" s="60"/>
      <c r="O22" s="60"/>
      <c r="P22" s="58"/>
      <c r="Q22" s="62"/>
      <c r="R22" s="39"/>
      <c r="S22" s="65"/>
      <c r="T22" s="18"/>
      <c r="U22" s="41"/>
      <c r="V22" s="39"/>
      <c r="W22" s="39"/>
      <c r="X22" s="39"/>
      <c r="Y22" s="41"/>
      <c r="Z22" s="41"/>
      <c r="AA22" s="39"/>
      <c r="AF22" s="41"/>
      <c r="AG22" s="41"/>
      <c r="AH22" s="41"/>
    </row>
    <row r="23" spans="1:34" ht="21" customHeight="1" x14ac:dyDescent="0.25">
      <c r="A23" s="39">
        <v>19</v>
      </c>
      <c r="B23" s="31"/>
      <c r="C23" s="32"/>
      <c r="D23" s="32"/>
      <c r="E23" s="55" t="e">
        <f>IF(#REF!="CASA",CONCATENATE("C:\Users\studi\Google Drive\CONTABILITA'\2020\Fatture\",D23," Trimestre\",B23,".pdf"),CONCATENATE("C:\Users\Sebastiano\Google Drive\CONTABILITA'\2020\Fatture\",D23," Trimestre\",B23,".pdf"))</f>
        <v>#REF!</v>
      </c>
      <c r="F23" s="26"/>
      <c r="G23" s="28"/>
      <c r="H23" s="64"/>
      <c r="I23" s="22"/>
      <c r="J23" s="45" t="str">
        <f t="shared" si="6"/>
        <v/>
      </c>
      <c r="K23" s="48"/>
      <c r="L23" s="24"/>
      <c r="M23" s="60"/>
      <c r="N23" s="60"/>
      <c r="O23" s="60"/>
      <c r="P23" s="58"/>
      <c r="Q23" s="62"/>
      <c r="R23" s="39"/>
      <c r="S23" s="3" t="s">
        <v>40</v>
      </c>
      <c r="T23" s="39"/>
      <c r="V23" s="128" t="s">
        <v>64</v>
      </c>
      <c r="W23" s="128" t="s">
        <v>66</v>
      </c>
      <c r="X23" s="39"/>
      <c r="Y23" s="231" t="s">
        <v>91</v>
      </c>
      <c r="Z23" s="232"/>
      <c r="AA23" s="39"/>
      <c r="AB23" s="231" t="s">
        <v>99</v>
      </c>
      <c r="AC23" s="232"/>
      <c r="AF23" s="41"/>
      <c r="AG23" s="41"/>
      <c r="AH23" s="41"/>
    </row>
    <row r="24" spans="1:34" ht="21" customHeight="1" x14ac:dyDescent="0.25">
      <c r="A24" s="39">
        <v>20</v>
      </c>
      <c r="B24" s="31"/>
      <c r="C24" s="32"/>
      <c r="D24" s="32"/>
      <c r="E24" s="55" t="e">
        <f>IF(#REF!="CASA",CONCATENATE("C:\Users\studi\Google Drive\CONTABILITA'\2020\Fatture\",D24," Trimestre\",B24,".pdf"),CONCATENATE("C:\Users\Sebastiano\Google Drive\CONTABILITA'\2020\Fatture\",D24," Trimestre\",B24,".pdf"))</f>
        <v>#REF!</v>
      </c>
      <c r="F24" s="26"/>
      <c r="G24" s="28"/>
      <c r="H24" s="64"/>
      <c r="I24" s="22"/>
      <c r="J24" s="45" t="str">
        <f t="shared" si="6"/>
        <v/>
      </c>
      <c r="K24" s="48"/>
      <c r="L24" s="24"/>
      <c r="M24" s="60"/>
      <c r="N24" s="60"/>
      <c r="O24" s="60"/>
      <c r="P24" s="58"/>
      <c r="Q24" s="62"/>
      <c r="R24" s="39"/>
      <c r="S24" s="66" t="s">
        <v>41</v>
      </c>
      <c r="T24" s="67">
        <f>MAX(780,0.0725*T20)*2</f>
        <v>4300.2649999999994</v>
      </c>
      <c r="V24" s="53">
        <v>532.75</v>
      </c>
      <c r="W24" s="129">
        <f>T24-V24</f>
        <v>3767.5149999999994</v>
      </c>
      <c r="X24" s="39"/>
      <c r="Y24" s="162"/>
      <c r="Z24" s="163">
        <f>393.25*2+117.5*2+20+27+6+3515.77+755.88</f>
        <v>5346.1500000000005</v>
      </c>
      <c r="AA24" s="39"/>
      <c r="AB24" s="162"/>
      <c r="AC24" s="163">
        <v>4323</v>
      </c>
      <c r="AF24" s="68"/>
      <c r="AG24" s="41"/>
      <c r="AH24" s="41"/>
    </row>
    <row r="25" spans="1:34" ht="21" customHeight="1" x14ac:dyDescent="0.25">
      <c r="A25" s="39">
        <v>21</v>
      </c>
      <c r="B25" s="31"/>
      <c r="C25" s="32"/>
      <c r="D25" s="32"/>
      <c r="E25" s="55" t="e">
        <f>IF(#REF!="CASA",CONCATENATE("C:\Users\studi\Google Drive\CONTABILITA'\2020\Fatture\",D25," Trimestre\",B25,".pdf"),CONCATENATE("C:\Users\Sebastiano\Google Drive\CONTABILITA'\2020\Fatture\",D25," Trimestre\",B25,".pdf"))</f>
        <v>#REF!</v>
      </c>
      <c r="F25" s="26"/>
      <c r="G25" s="28"/>
      <c r="H25" s="64"/>
      <c r="I25" s="22"/>
      <c r="J25" s="45" t="str">
        <f t="shared" si="6"/>
        <v/>
      </c>
      <c r="K25" s="48"/>
      <c r="L25" s="24"/>
      <c r="M25" s="60"/>
      <c r="N25" s="60"/>
      <c r="O25" s="60"/>
      <c r="P25" s="58"/>
      <c r="Q25" s="62"/>
      <c r="R25" s="39"/>
      <c r="S25" s="36" t="s">
        <v>42</v>
      </c>
      <c r="T25" s="62">
        <f>MAX(231.5,N27)</f>
        <v>990.88</v>
      </c>
      <c r="U25" s="41"/>
      <c r="V25" s="53">
        <v>541.75</v>
      </c>
      <c r="W25" s="129">
        <f>T25-V25</f>
        <v>449.13</v>
      </c>
      <c r="X25" s="39"/>
      <c r="Y25" s="41"/>
      <c r="Z25" s="41"/>
      <c r="AA25" s="39"/>
      <c r="AF25" s="41"/>
      <c r="AG25" s="41"/>
      <c r="AH25" s="41"/>
    </row>
    <row r="26" spans="1:34" ht="21" customHeight="1" x14ac:dyDescent="0.25">
      <c r="A26" s="39">
        <v>22</v>
      </c>
      <c r="B26" s="34"/>
      <c r="C26" s="35"/>
      <c r="D26" s="35"/>
      <c r="E26" s="69" t="e">
        <f>IF(#REF!="CASA",CONCATENATE("C:\Users\studi\Google Drive\CONTABILITA'\2020\Fatture\",D26," Trimestre\",B26,".pdf"),CONCATENATE("C:\Users\Sebastiano\Google Drive\CONTABILITA'\2020\Fatture\",D26," Trimestre\",B26,".pdf"))</f>
        <v>#REF!</v>
      </c>
      <c r="F26" s="29"/>
      <c r="G26" s="30"/>
      <c r="H26" s="70"/>
      <c r="I26" s="23"/>
      <c r="J26" s="71" t="str">
        <f t="shared" si="6"/>
        <v/>
      </c>
      <c r="K26" s="72"/>
      <c r="L26" s="25"/>
      <c r="M26" s="73"/>
      <c r="N26" s="73"/>
      <c r="O26" s="73"/>
      <c r="P26" s="74"/>
      <c r="Q26" s="62"/>
      <c r="R26" s="39"/>
      <c r="S26" s="36" t="s">
        <v>43</v>
      </c>
      <c r="T26" s="62">
        <v>39</v>
      </c>
      <c r="V26" s="53">
        <v>4269.6499999999996</v>
      </c>
      <c r="W26" s="129">
        <f>T26-V26</f>
        <v>-4230.6499999999996</v>
      </c>
      <c r="X26" s="39"/>
      <c r="Y26" s="41"/>
      <c r="Z26" s="41"/>
      <c r="AA26" s="39"/>
      <c r="AF26" s="62"/>
      <c r="AG26" s="41"/>
      <c r="AH26" s="41"/>
    </row>
    <row r="27" spans="1:34" ht="24.95" customHeight="1" x14ac:dyDescent="0.25">
      <c r="A27" s="39"/>
      <c r="B27" s="41"/>
      <c r="C27" s="41"/>
      <c r="D27" s="41"/>
      <c r="E27" s="41"/>
      <c r="F27" s="39"/>
      <c r="G27" s="39"/>
      <c r="H27" s="39"/>
      <c r="I27" s="39"/>
      <c r="J27" s="39"/>
      <c r="K27" s="39" t="s">
        <v>44</v>
      </c>
      <c r="L27" s="75">
        <f>SUBTOTAL(9,L5:L26)</f>
        <v>38022</v>
      </c>
      <c r="M27" s="76"/>
      <c r="N27" s="75">
        <f>SUBTOTAL(9,N5:N26)</f>
        <v>990.88</v>
      </c>
      <c r="O27" s="12" t="s">
        <v>45</v>
      </c>
      <c r="P27" s="11">
        <f>SUBTOTAL(9,P5:P26)</f>
        <v>39034.879999999997</v>
      </c>
      <c r="Q27" s="4"/>
      <c r="R27" s="39"/>
      <c r="S27" s="39"/>
      <c r="T27" s="4">
        <f>SUM(T24:T26)</f>
        <v>5330.1449999999995</v>
      </c>
      <c r="V27" s="4">
        <f>SUM(V24:V26)</f>
        <v>5344.15</v>
      </c>
      <c r="W27" s="4">
        <f t="shared" ref="W27" si="7">SUM(W24:W26)</f>
        <v>-14.005000000000109</v>
      </c>
      <c r="X27" s="39"/>
      <c r="Y27" s="41"/>
      <c r="Z27" s="41"/>
      <c r="AA27" s="39"/>
      <c r="AF27" s="4">
        <f>SUM(AF24:AF26)</f>
        <v>0</v>
      </c>
      <c r="AG27" s="4">
        <f>SUM(AG24:AG26)</f>
        <v>0</v>
      </c>
      <c r="AH27" s="4">
        <f>SUM(AH24:AH26)</f>
        <v>0</v>
      </c>
    </row>
    <row r="28" spans="1:34" ht="24.95" customHeight="1" x14ac:dyDescent="0.25">
      <c r="A28" s="39"/>
      <c r="B28" s="41"/>
      <c r="C28" s="41"/>
      <c r="D28" s="41"/>
      <c r="E28" s="19"/>
      <c r="F28" s="39"/>
      <c r="G28" s="39"/>
      <c r="H28" s="39"/>
      <c r="I28" s="39"/>
      <c r="J28" s="39"/>
      <c r="K28" s="39" t="s">
        <v>46</v>
      </c>
      <c r="L28" s="77">
        <f>SUMIF(J5:J26,"x",L5:L26)</f>
        <v>38022</v>
      </c>
      <c r="M28" s="61"/>
      <c r="N28" s="41"/>
      <c r="O28" s="39"/>
      <c r="P28" s="39"/>
      <c r="Q28" s="39"/>
      <c r="R28" s="39"/>
      <c r="S28" s="38"/>
      <c r="T28" s="51">
        <f>(P27-T30)/P27</f>
        <v>0.25051172182417375</v>
      </c>
      <c r="U28" s="51">
        <f>1-(L27-T21-T24-T26)/L27</f>
        <v>0.23112448056388413</v>
      </c>
      <c r="V28" s="83"/>
      <c r="W28" s="39"/>
      <c r="X28" s="39"/>
      <c r="Y28" s="41"/>
      <c r="Z28" s="41"/>
      <c r="AA28" s="39"/>
      <c r="AF28" s="41"/>
      <c r="AG28" s="41"/>
      <c r="AH28" s="41"/>
    </row>
    <row r="29" spans="1:34" ht="24.95" customHeight="1" x14ac:dyDescent="0.25">
      <c r="A29" s="39"/>
      <c r="B29" s="41"/>
      <c r="C29" s="41"/>
      <c r="D29" s="41"/>
      <c r="E29" s="41"/>
      <c r="F29" s="39"/>
      <c r="G29" s="39"/>
      <c r="H29" s="39"/>
      <c r="I29" s="39"/>
      <c r="J29" s="39"/>
      <c r="K29" s="39"/>
      <c r="L29" s="78"/>
      <c r="M29" s="61"/>
      <c r="N29" s="41"/>
      <c r="O29" s="39"/>
      <c r="P29" s="39"/>
      <c r="Q29" s="39"/>
      <c r="R29" s="39"/>
      <c r="S29" s="39"/>
      <c r="T29" s="18" t="s">
        <v>47</v>
      </c>
      <c r="U29" s="18" t="s">
        <v>48</v>
      </c>
      <c r="V29" s="39"/>
      <c r="W29" s="39"/>
      <c r="X29" s="39"/>
      <c r="Y29" s="41"/>
      <c r="Z29" s="41"/>
      <c r="AA29" s="39"/>
      <c r="AF29" s="41"/>
      <c r="AG29" s="41"/>
      <c r="AH29" s="41"/>
    </row>
    <row r="30" spans="1:34" ht="24.95" customHeight="1" x14ac:dyDescent="0.25">
      <c r="A30" s="39"/>
      <c r="B30" s="41"/>
      <c r="C30" s="41"/>
      <c r="D30" s="41"/>
      <c r="E30" s="41"/>
      <c r="F30" s="39"/>
      <c r="G30" s="39"/>
      <c r="H30" s="39"/>
      <c r="I30" s="39"/>
      <c r="J30" s="39"/>
      <c r="K30" s="39"/>
      <c r="L30" s="61"/>
      <c r="M30" s="61"/>
      <c r="N30" s="41"/>
      <c r="O30" s="39"/>
      <c r="P30" s="39"/>
      <c r="Q30" s="39"/>
      <c r="R30" s="62"/>
      <c r="S30" s="85" t="s">
        <v>49</v>
      </c>
      <c r="T30" s="47">
        <f>P27-T21-T27</f>
        <v>29256.184999999994</v>
      </c>
      <c r="U30" s="62">
        <f>L27-T30</f>
        <v>8765.815000000006</v>
      </c>
      <c r="V30" s="61"/>
      <c r="W30" s="39"/>
      <c r="X30" s="39"/>
      <c r="Y30" s="41"/>
      <c r="Z30" s="41"/>
      <c r="AA30" s="39"/>
      <c r="AF30" s="41"/>
      <c r="AG30" s="41"/>
      <c r="AH30" s="41"/>
    </row>
    <row r="31" spans="1:34" ht="24.95" customHeight="1" x14ac:dyDescent="0.25">
      <c r="A31" s="39"/>
      <c r="B31" s="41"/>
      <c r="C31" s="41"/>
      <c r="D31" s="41"/>
      <c r="E31" s="41"/>
      <c r="F31" s="39"/>
      <c r="G31" s="39"/>
      <c r="H31" s="39"/>
      <c r="I31" s="39"/>
      <c r="J31" s="39"/>
      <c r="K31" s="39"/>
      <c r="L31" s="61"/>
      <c r="M31" s="61"/>
      <c r="N31" s="41"/>
      <c r="O31" s="39"/>
      <c r="P31" s="39"/>
      <c r="Q31" s="39"/>
      <c r="R31" s="39"/>
      <c r="S31" s="85">
        <v>2020</v>
      </c>
      <c r="T31" s="47">
        <f>T36*T7</f>
        <v>5641.0085359247933</v>
      </c>
      <c r="U31" s="62">
        <f>X5+X6-T31</f>
        <v>1595.9914640752067</v>
      </c>
      <c r="V31" s="39"/>
      <c r="W31" s="39"/>
      <c r="X31" s="39"/>
      <c r="Y31" s="41"/>
      <c r="Z31" s="41"/>
      <c r="AA31" s="39"/>
      <c r="AF31" s="41"/>
      <c r="AG31" s="41"/>
      <c r="AH31" s="41"/>
    </row>
    <row r="32" spans="1:34" ht="30.75" customHeight="1" x14ac:dyDescent="0.25">
      <c r="A32" s="39"/>
      <c r="B32" s="41"/>
      <c r="C32" s="41"/>
      <c r="D32" s="41"/>
      <c r="E32" s="41"/>
      <c r="F32" s="39"/>
      <c r="G32" s="39"/>
      <c r="H32" s="39"/>
      <c r="I32" s="39"/>
      <c r="J32" s="39"/>
      <c r="K32" s="39"/>
      <c r="L32" s="39"/>
      <c r="M32" s="39"/>
      <c r="N32" s="41"/>
      <c r="O32" s="39"/>
      <c r="P32" s="39"/>
      <c r="Q32" s="39"/>
      <c r="R32" s="39"/>
      <c r="S32" s="85">
        <v>2021</v>
      </c>
      <c r="T32" s="47">
        <f>T37*U7+T35</f>
        <v>22639.342725890278</v>
      </c>
      <c r="U32" s="62">
        <f>U30-U31-U34-U35</f>
        <v>6125.2935832260846</v>
      </c>
      <c r="V32" s="39"/>
      <c r="W32" s="39"/>
      <c r="X32" s="39" t="s">
        <v>68</v>
      </c>
      <c r="Y32" s="59">
        <v>44865</v>
      </c>
      <c r="Z32" s="59">
        <v>44896</v>
      </c>
      <c r="AA32" s="39" t="s">
        <v>16</v>
      </c>
      <c r="AB32" s="39" t="s">
        <v>71</v>
      </c>
      <c r="AF32" s="41"/>
      <c r="AG32" s="41"/>
      <c r="AH32" s="41"/>
    </row>
    <row r="33" spans="1:34" ht="24.95" customHeight="1" x14ac:dyDescent="0.25">
      <c r="A33" s="39"/>
      <c r="B33" s="41"/>
      <c r="C33" s="41"/>
      <c r="D33" s="41"/>
      <c r="E33" s="41"/>
      <c r="F33" s="39"/>
      <c r="G33" s="39"/>
      <c r="H33" s="39"/>
      <c r="I33" s="39"/>
      <c r="J33" s="39"/>
      <c r="K33" s="39"/>
      <c r="L33" s="39"/>
      <c r="M33" s="79"/>
      <c r="N33" s="39"/>
      <c r="O33" s="39"/>
      <c r="P33" s="39"/>
      <c r="Q33" s="39"/>
      <c r="R33" s="39"/>
      <c r="S33" s="42"/>
      <c r="T33" s="41"/>
      <c r="U33" s="41"/>
      <c r="V33" s="39"/>
      <c r="W33" s="39"/>
      <c r="X33" s="39" t="s">
        <v>69</v>
      </c>
      <c r="Y33" s="53">
        <f>T24+0.5*T25</f>
        <v>4795.704999999999</v>
      </c>
      <c r="Z33" s="53"/>
      <c r="AA33" s="39"/>
      <c r="AF33" s="41"/>
      <c r="AG33" s="41"/>
      <c r="AH33" s="41"/>
    </row>
    <row r="34" spans="1:34" ht="24.95" customHeight="1" x14ac:dyDescent="0.25">
      <c r="A34" s="39"/>
      <c r="B34" s="41"/>
      <c r="C34" s="41"/>
      <c r="D34" s="41"/>
      <c r="E34" s="41"/>
      <c r="F34" s="39"/>
      <c r="G34" s="39"/>
      <c r="H34" s="39"/>
      <c r="I34" s="39"/>
      <c r="J34" s="39"/>
      <c r="K34" s="39"/>
      <c r="L34" s="50"/>
      <c r="M34" s="50"/>
      <c r="N34" s="39"/>
      <c r="O34" s="41"/>
      <c r="P34" s="39"/>
      <c r="Q34" s="39"/>
      <c r="R34" s="39"/>
      <c r="S34" s="85" t="s">
        <v>50</v>
      </c>
      <c r="T34" s="47">
        <f>(SUM(P18)-(T21+T27)/(P27)*SUM(P18))</f>
        <v>975.83373818492578</v>
      </c>
      <c r="U34" s="62">
        <f>L18-T34</f>
        <v>274.16626181507422</v>
      </c>
      <c r="V34" s="39"/>
      <c r="W34" s="39"/>
      <c r="X34" s="39" t="s">
        <v>70</v>
      </c>
      <c r="Y34" s="53">
        <v>5755</v>
      </c>
      <c r="Z34" s="53">
        <v>2161.5</v>
      </c>
      <c r="AA34" s="87">
        <f>Z34+Y34</f>
        <v>7916.5</v>
      </c>
      <c r="AB34" s="146">
        <f>AA34-T21</f>
        <v>3467.95</v>
      </c>
      <c r="AF34" s="41"/>
      <c r="AG34" s="41"/>
      <c r="AH34" s="41"/>
    </row>
    <row r="35" spans="1:34" ht="24.95" customHeight="1" x14ac:dyDescent="0.25">
      <c r="A35" s="39"/>
      <c r="B35" s="41"/>
      <c r="C35" s="41"/>
      <c r="D35" s="41"/>
      <c r="E35" s="41"/>
      <c r="F35" s="39"/>
      <c r="G35" s="39"/>
      <c r="H35" s="39"/>
      <c r="I35" s="39"/>
      <c r="J35" s="39"/>
      <c r="K35" s="39"/>
      <c r="L35" s="50"/>
      <c r="M35" s="39"/>
      <c r="N35" s="39"/>
      <c r="O35" s="41"/>
      <c r="P35" s="39"/>
      <c r="Q35" s="236">
        <f>(T37*U7+T36*T7+T35)/(T7+U7)</f>
        <v>1663.550074224416</v>
      </c>
      <c r="R35" s="233" t="s">
        <v>51</v>
      </c>
      <c r="S35" s="85" t="s">
        <v>52</v>
      </c>
      <c r="T35" s="47">
        <f>(SUM(P19)-(T21+T27)/(P27)*SUM(P19))</f>
        <v>2729.6363091163594</v>
      </c>
      <c r="U35" s="61">
        <f>L19-T35</f>
        <v>770.36369088364063</v>
      </c>
      <c r="V35" s="39"/>
      <c r="W35" s="39"/>
      <c r="X35" s="39"/>
      <c r="Y35" s="41"/>
      <c r="Z35" s="41"/>
      <c r="AA35" s="39"/>
      <c r="AF35" s="41"/>
      <c r="AG35" s="41"/>
      <c r="AH35" s="41"/>
    </row>
    <row r="36" spans="1:34" ht="24.95" customHeight="1" x14ac:dyDescent="0.25">
      <c r="A36" s="39"/>
      <c r="B36" s="41"/>
      <c r="C36" s="41"/>
      <c r="D36" s="41"/>
      <c r="E36" s="41"/>
      <c r="F36" s="39"/>
      <c r="G36" s="39"/>
      <c r="H36" s="39"/>
      <c r="I36" s="39"/>
      <c r="J36" s="39"/>
      <c r="K36" s="39"/>
      <c r="L36" s="50"/>
      <c r="M36" s="39"/>
      <c r="N36" s="39"/>
      <c r="O36" s="236">
        <f>(T37*U7+T35)/U7</f>
        <v>1886.6118938241898</v>
      </c>
      <c r="P36" s="233" t="s">
        <v>51</v>
      </c>
      <c r="Q36" s="238"/>
      <c r="R36" s="234"/>
      <c r="S36" s="85" t="s">
        <v>53</v>
      </c>
      <c r="T36" s="47">
        <f>(SUM(X5:X6)*1.04-(T21+T27)/(P27)*SUM(X5:X6)*1.04)/T7</f>
        <v>1128.2017071849587</v>
      </c>
      <c r="U36" s="87">
        <f>U31/T7</f>
        <v>319.19829281504133</v>
      </c>
      <c r="V36" s="39"/>
      <c r="W36" s="39"/>
      <c r="X36" s="39"/>
      <c r="Y36" s="41"/>
      <c r="Z36" s="41"/>
      <c r="AA36" s="39"/>
      <c r="AF36" s="41"/>
      <c r="AG36" s="41"/>
      <c r="AH36" s="41"/>
    </row>
    <row r="37" spans="1:34" ht="24.95" customHeight="1" x14ac:dyDescent="0.25">
      <c r="A37" s="39"/>
      <c r="B37" s="41"/>
      <c r="C37" s="41"/>
      <c r="D37" s="41"/>
      <c r="E37" s="41"/>
      <c r="F37" s="39"/>
      <c r="G37" s="39"/>
      <c r="H37" s="39"/>
      <c r="I37" s="39"/>
      <c r="J37" s="39"/>
      <c r="K37" s="39"/>
      <c r="L37" s="39"/>
      <c r="M37" s="39"/>
      <c r="N37" s="39"/>
      <c r="O37" s="237"/>
      <c r="P37" s="235"/>
      <c r="Q37" s="237"/>
      <c r="R37" s="235"/>
      <c r="S37" s="85" t="s">
        <v>54</v>
      </c>
      <c r="T37" s="47">
        <f>(P27-SUM(X5:X6)*1.04-P18-P19-(T21+T27)/(P27)*(P27-SUM(X5:X6)*1.04-P18-P19))/U7</f>
        <v>1659.1422013978265</v>
      </c>
      <c r="U37" s="62">
        <f>U32/U7</f>
        <v>510.44113193550703</v>
      </c>
      <c r="V37" s="61"/>
      <c r="W37" s="39"/>
      <c r="X37" s="39"/>
      <c r="Y37" s="41"/>
      <c r="Z37" s="41"/>
      <c r="AA37" s="39"/>
      <c r="AF37" s="41"/>
      <c r="AG37" s="41"/>
      <c r="AH37" s="41"/>
    </row>
    <row r="38" spans="1:34" ht="24.95" customHeight="1" x14ac:dyDescent="0.25">
      <c r="A38" s="39"/>
      <c r="B38" s="41"/>
      <c r="C38" s="41"/>
      <c r="D38" s="41"/>
      <c r="E38" s="41"/>
      <c r="F38" s="39"/>
      <c r="G38" s="39"/>
      <c r="H38" s="39"/>
      <c r="I38" s="39"/>
      <c r="J38" s="39"/>
      <c r="K38" s="39"/>
      <c r="L38" s="39"/>
      <c r="M38" s="39"/>
      <c r="N38" s="39"/>
      <c r="O38" s="41"/>
      <c r="P38" s="39"/>
      <c r="Q38" s="39"/>
      <c r="R38" s="39"/>
      <c r="S38" s="39" t="s">
        <v>55</v>
      </c>
      <c r="T38" s="61">
        <f>T37*U7+T36*T7+T27+T21+T34+T35</f>
        <v>39034.879999999997</v>
      </c>
      <c r="U38" s="41"/>
      <c r="V38" s="39"/>
      <c r="W38" s="39"/>
      <c r="X38" s="39"/>
      <c r="Y38" s="41"/>
      <c r="Z38" s="41"/>
      <c r="AA38" s="39"/>
      <c r="AF38" s="41"/>
      <c r="AG38" s="41"/>
      <c r="AH38" s="41"/>
    </row>
    <row r="39" spans="1:34" ht="24.95" customHeight="1" x14ac:dyDescent="0.25">
      <c r="A39" s="39"/>
      <c r="B39" s="41"/>
      <c r="C39" s="41"/>
      <c r="D39" s="41"/>
      <c r="E39" s="41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41"/>
      <c r="V39" s="39"/>
      <c r="W39" s="39"/>
      <c r="X39" s="39"/>
      <c r="Y39" s="41"/>
      <c r="Z39" s="41"/>
      <c r="AA39" s="39"/>
      <c r="AF39" s="41"/>
      <c r="AG39" s="41"/>
      <c r="AH39" s="41"/>
    </row>
  </sheetData>
  <mergeCells count="8">
    <mergeCell ref="B1:P1"/>
    <mergeCell ref="B2:P2"/>
    <mergeCell ref="Y23:Z23"/>
    <mergeCell ref="AB23:AC23"/>
    <mergeCell ref="R35:R37"/>
    <mergeCell ref="O36:O37"/>
    <mergeCell ref="P36:P37"/>
    <mergeCell ref="Q35:Q37"/>
  </mergeCells>
  <phoneticPr fontId="12" type="noConversion"/>
  <conditionalFormatting sqref="T38">
    <cfRule type="expression" dxfId="1" priority="1">
      <formula>IF($P$27=$T$38,"FALSE","TRUE")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CF2A-17E1-4CBA-BE2D-C275422FFB82}">
  <sheetPr codeName="Foglio2"/>
  <dimension ref="B1:AA38"/>
  <sheetViews>
    <sheetView showGridLines="0" zoomScale="85" zoomScaleNormal="85" workbookViewId="0">
      <selection activeCell="L24" sqref="L24"/>
    </sheetView>
  </sheetViews>
  <sheetFormatPr defaultColWidth="9.140625" defaultRowHeight="24.95" customHeight="1" x14ac:dyDescent="0.25"/>
  <cols>
    <col min="1" max="1" width="3.42578125" style="1" customWidth="1"/>
    <col min="2" max="2" width="9.140625" style="1" customWidth="1"/>
    <col min="3" max="3" width="8.140625" style="2" customWidth="1"/>
    <col min="4" max="4" width="7.140625" style="2" customWidth="1"/>
    <col min="5" max="5" width="12.28515625" style="2" customWidth="1"/>
    <col min="6" max="6" width="61.7109375" style="2" hidden="1" customWidth="1"/>
    <col min="7" max="7" width="11.28515625" style="1" customWidth="1"/>
    <col min="8" max="8" width="15.85546875" style="1" customWidth="1"/>
    <col min="9" max="9" width="14.28515625" style="1" customWidth="1"/>
    <col min="10" max="10" width="12.28515625" style="1" customWidth="1"/>
    <col min="11" max="11" width="10.7109375" style="1" customWidth="1"/>
    <col min="12" max="12" width="11.28515625" style="2" customWidth="1"/>
    <col min="13" max="14" width="10.140625" style="1" customWidth="1"/>
    <col min="15" max="15" width="7.5703125" style="1" customWidth="1"/>
    <col min="16" max="16" width="25" style="1" customWidth="1"/>
    <col min="17" max="17" width="18" style="2" customWidth="1"/>
    <col min="18" max="18" width="15.140625" style="2" customWidth="1"/>
    <col min="19" max="19" width="17.7109375" style="1" customWidth="1"/>
    <col min="20" max="20" width="12.28515625" style="2" customWidth="1"/>
    <col min="21" max="21" width="24.140625" style="2" customWidth="1"/>
    <col min="22" max="22" width="17.140625" style="2" customWidth="1"/>
    <col min="23" max="23" width="9.42578125" style="1" customWidth="1"/>
    <col min="24" max="24" width="13.7109375" style="1" customWidth="1"/>
    <col min="25" max="25" width="12.85546875" style="2" customWidth="1"/>
    <col min="26" max="26" width="11.42578125" style="2" customWidth="1"/>
    <col min="27" max="16384" width="9.140625" style="1"/>
  </cols>
  <sheetData>
    <row r="1" spans="2:27" ht="28.5" customHeight="1" x14ac:dyDescent="0.25">
      <c r="B1" s="39"/>
      <c r="C1" s="229" t="s">
        <v>0</v>
      </c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86"/>
      <c r="O1" s="39"/>
      <c r="P1" s="39"/>
      <c r="Q1" s="41"/>
      <c r="R1" s="41"/>
      <c r="S1" s="39"/>
      <c r="T1" s="41"/>
      <c r="U1" s="41"/>
      <c r="V1" s="41"/>
      <c r="W1" s="39"/>
      <c r="X1" s="39"/>
      <c r="Y1" s="41"/>
      <c r="Z1" s="41"/>
      <c r="AA1" s="39"/>
    </row>
    <row r="2" spans="2:27" ht="13.5" customHeight="1" x14ac:dyDescent="0.25">
      <c r="B2" s="39"/>
      <c r="C2" s="230" t="s">
        <v>67</v>
      </c>
      <c r="D2" s="230"/>
      <c r="E2" s="230"/>
      <c r="F2" s="230"/>
      <c r="G2" s="230"/>
      <c r="H2" s="230"/>
      <c r="I2" s="230"/>
      <c r="J2" s="230" t="s">
        <v>2</v>
      </c>
      <c r="K2" s="230"/>
      <c r="L2" s="230"/>
      <c r="M2" s="230"/>
      <c r="N2" s="18"/>
      <c r="O2" s="39"/>
      <c r="P2" s="39"/>
      <c r="Q2" s="41"/>
      <c r="R2" s="41"/>
      <c r="S2" s="39"/>
      <c r="T2" s="41"/>
      <c r="U2" s="41"/>
      <c r="V2" s="41"/>
      <c r="W2" s="39"/>
      <c r="X2" s="39"/>
      <c r="Y2" s="41"/>
      <c r="Z2" s="41"/>
      <c r="AA2" s="39"/>
    </row>
    <row r="3" spans="2:27" ht="24.95" customHeight="1" x14ac:dyDescent="0.25">
      <c r="B3" s="39"/>
      <c r="C3" s="41"/>
      <c r="D3" s="41"/>
      <c r="E3" s="13"/>
      <c r="F3" s="13"/>
      <c r="G3" s="39"/>
      <c r="H3" s="54"/>
      <c r="I3" s="39"/>
      <c r="J3" s="39"/>
      <c r="K3" s="39"/>
      <c r="L3" s="41"/>
      <c r="M3" s="39"/>
      <c r="N3" s="39"/>
      <c r="O3" s="39"/>
      <c r="P3" s="39"/>
      <c r="Q3" s="41"/>
      <c r="R3" s="41"/>
      <c r="S3" s="39"/>
      <c r="T3" s="41"/>
      <c r="U3" s="41"/>
      <c r="V3" s="41"/>
      <c r="W3" s="39"/>
      <c r="X3" s="39"/>
      <c r="Y3" s="41"/>
      <c r="Z3" s="41"/>
      <c r="AA3" s="39"/>
    </row>
    <row r="4" spans="2:27" ht="47.45" customHeight="1" x14ac:dyDescent="0.2">
      <c r="B4" s="5" t="s">
        <v>88</v>
      </c>
      <c r="C4" s="244" t="s">
        <v>87</v>
      </c>
      <c r="D4" s="245"/>
      <c r="E4" s="14" t="s">
        <v>86</v>
      </c>
      <c r="F4" s="14"/>
      <c r="G4" s="5" t="s">
        <v>6</v>
      </c>
      <c r="H4" s="7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9" t="s">
        <v>16</v>
      </c>
      <c r="N4" s="10" t="s">
        <v>17</v>
      </c>
      <c r="O4" s="39"/>
      <c r="P4" s="39"/>
      <c r="Q4" s="39"/>
      <c r="R4" s="41"/>
      <c r="S4" s="39"/>
      <c r="T4" s="41"/>
      <c r="U4" s="37"/>
      <c r="V4" s="37"/>
      <c r="W4" s="18"/>
      <c r="X4" s="39"/>
      <c r="Y4" s="41"/>
      <c r="Z4" s="41"/>
      <c r="AA4" s="39"/>
    </row>
    <row r="5" spans="2:27" ht="21" customHeight="1" x14ac:dyDescent="0.25">
      <c r="B5" s="156">
        <v>16</v>
      </c>
      <c r="C5" s="130"/>
      <c r="D5" s="131"/>
      <c r="E5" s="131" t="s">
        <v>83</v>
      </c>
      <c r="F5" s="132"/>
      <c r="G5" s="133">
        <v>44561</v>
      </c>
      <c r="H5" s="134" t="s">
        <v>27</v>
      </c>
      <c r="I5" s="135">
        <v>500</v>
      </c>
      <c r="J5" s="136">
        <v>0</v>
      </c>
      <c r="K5" s="136">
        <f t="shared" ref="K5:K6" si="0">IF(N5="x",0,0.04*I5)</f>
        <v>0</v>
      </c>
      <c r="L5" s="136">
        <v>2</v>
      </c>
      <c r="M5" s="137">
        <f t="shared" ref="M5:M6" si="1">I5+K5+L5</f>
        <v>502</v>
      </c>
      <c r="N5" s="62" t="s">
        <v>22</v>
      </c>
      <c r="O5" s="39"/>
      <c r="P5" s="39"/>
      <c r="Q5" s="41"/>
      <c r="R5" s="41"/>
      <c r="S5" s="39"/>
      <c r="T5" s="59"/>
      <c r="U5" s="59"/>
      <c r="V5" s="41"/>
      <c r="W5" s="80"/>
      <c r="X5" s="81"/>
      <c r="Y5" s="53"/>
      <c r="Z5" s="53"/>
      <c r="AA5" s="39"/>
    </row>
    <row r="6" spans="2:27" ht="21" customHeight="1" x14ac:dyDescent="0.25">
      <c r="B6" s="156">
        <v>17</v>
      </c>
      <c r="C6" s="130"/>
      <c r="D6" s="131"/>
      <c r="E6" s="131" t="s">
        <v>83</v>
      </c>
      <c r="F6" s="132"/>
      <c r="G6" s="133">
        <v>44561</v>
      </c>
      <c r="H6" s="134" t="s">
        <v>27</v>
      </c>
      <c r="I6" s="135">
        <v>2000</v>
      </c>
      <c r="J6" s="136">
        <v>0</v>
      </c>
      <c r="K6" s="136">
        <f t="shared" si="0"/>
        <v>80</v>
      </c>
      <c r="L6" s="136">
        <v>2</v>
      </c>
      <c r="M6" s="137">
        <f t="shared" si="1"/>
        <v>2082</v>
      </c>
      <c r="N6" s="62"/>
      <c r="O6" s="39"/>
      <c r="P6" s="39"/>
      <c r="Q6" s="41"/>
      <c r="R6" s="41"/>
      <c r="S6" s="39"/>
      <c r="T6" s="59"/>
      <c r="U6" s="59"/>
      <c r="V6" s="41"/>
      <c r="W6" s="80"/>
      <c r="X6" s="81"/>
      <c r="Y6" s="53"/>
      <c r="Z6" s="53"/>
      <c r="AA6" s="39"/>
    </row>
    <row r="7" spans="2:27" ht="21" customHeight="1" x14ac:dyDescent="0.25">
      <c r="B7" s="157">
        <v>1</v>
      </c>
      <c r="C7" s="31"/>
      <c r="D7" s="32"/>
      <c r="E7" s="32" t="s">
        <v>72</v>
      </c>
      <c r="F7" s="55" t="e">
        <f>IF(#REF!="CASA",CONCATENATE("C:\Users\studi\Google Drive\CONTABILITA'\",D7,"\",E7," Trimestre\Fatture\",C7,".pdf"),CONCATENATE("C:\Users\Sebastiano\Google Drive\CONTABILITA'\",D7,"\",E7," Trimestre\Fatture\",C7,".pdf"))</f>
        <v>#REF!</v>
      </c>
      <c r="G7" s="26">
        <v>44592</v>
      </c>
      <c r="H7" s="48" t="s">
        <v>27</v>
      </c>
      <c r="I7" s="24">
        <v>2800</v>
      </c>
      <c r="J7" s="57">
        <v>0</v>
      </c>
      <c r="K7" s="57">
        <f>IF(N7="x",0,0.04*I7)</f>
        <v>112</v>
      </c>
      <c r="L7" s="57">
        <v>2</v>
      </c>
      <c r="M7" s="58">
        <f t="shared" ref="M7:M15" si="2">I7+K7+L7</f>
        <v>2914</v>
      </c>
      <c r="N7" s="62"/>
      <c r="O7" s="39"/>
      <c r="P7" s="39"/>
      <c r="Q7" s="59"/>
      <c r="R7" s="59"/>
      <c r="S7" s="41"/>
      <c r="T7" s="80"/>
      <c r="U7" s="81"/>
      <c r="V7" s="53"/>
      <c r="W7" s="53"/>
      <c r="X7" s="39"/>
      <c r="Y7" s="1"/>
      <c r="Z7" s="1"/>
    </row>
    <row r="8" spans="2:27" ht="21" customHeight="1" x14ac:dyDescent="0.25">
      <c r="B8" s="157">
        <v>2</v>
      </c>
      <c r="C8" s="31"/>
      <c r="D8" s="32"/>
      <c r="E8" s="32" t="s">
        <v>73</v>
      </c>
      <c r="F8" s="55" t="e">
        <f>IF(#REF!="CASA",CONCATENATE("C:\Users\studi\Google Drive\CONTABILITA'\2019\",E8," Trimestre\Fatture\",C8,".pdf"),CONCATENATE("C:\Users\Sebastiano\Google Drive\CONTABILITA'\2019\",E8," Trimestre\Fatture\",C8,".pdf"))</f>
        <v>#REF!</v>
      </c>
      <c r="G8" s="26">
        <v>44620</v>
      </c>
      <c r="H8" s="48" t="s">
        <v>27</v>
      </c>
      <c r="I8" s="24">
        <v>2800</v>
      </c>
      <c r="J8" s="57">
        <v>0</v>
      </c>
      <c r="K8" s="57">
        <f t="shared" ref="K8:K19" si="3">IF(N8="x",0,0.04*I8)</f>
        <v>112</v>
      </c>
      <c r="L8" s="57">
        <v>2</v>
      </c>
      <c r="M8" s="58">
        <f t="shared" si="2"/>
        <v>2914</v>
      </c>
      <c r="N8" s="62"/>
      <c r="O8" s="39"/>
      <c r="P8" s="39"/>
      <c r="Q8" s="59"/>
      <c r="R8" s="59"/>
      <c r="S8" s="41"/>
      <c r="T8" s="80"/>
      <c r="U8" s="81"/>
      <c r="V8" s="53"/>
      <c r="W8" s="53"/>
      <c r="X8" s="39"/>
      <c r="Y8" s="1"/>
      <c r="Z8" s="1"/>
    </row>
    <row r="9" spans="2:27" ht="21" customHeight="1" x14ac:dyDescent="0.25">
      <c r="B9" s="157">
        <v>3</v>
      </c>
      <c r="C9" s="31"/>
      <c r="D9" s="32"/>
      <c r="E9" s="32" t="s">
        <v>74</v>
      </c>
      <c r="F9" s="55" t="e">
        <f>IF(#REF!="CASA",CONCATENATE("C:\Users\studi\Google Drive\CONTABILITA'\2019\",E9," Trimestre\Fatture\",C9,".pdf"),CONCATENATE("C:\Users\Sebastiano\Google Drive\CONTABILITA'\2019\",E9," Trimestre\Fatture\",C9,".pdf"))</f>
        <v>#REF!</v>
      </c>
      <c r="G9" s="26">
        <v>44651</v>
      </c>
      <c r="H9" s="48" t="s">
        <v>27</v>
      </c>
      <c r="I9" s="24">
        <v>2800</v>
      </c>
      <c r="J9" s="57">
        <v>0</v>
      </c>
      <c r="K9" s="57">
        <f t="shared" si="3"/>
        <v>112</v>
      </c>
      <c r="L9" s="57">
        <v>2</v>
      </c>
      <c r="M9" s="58">
        <f t="shared" si="2"/>
        <v>2914</v>
      </c>
      <c r="N9" s="62"/>
      <c r="O9" s="39"/>
      <c r="P9" s="39"/>
      <c r="Q9" s="59"/>
      <c r="R9" s="59"/>
      <c r="S9" s="41"/>
      <c r="T9" s="80"/>
      <c r="U9" s="81"/>
      <c r="V9" s="53"/>
      <c r="W9" s="53"/>
      <c r="X9" s="39"/>
      <c r="Y9" s="1"/>
      <c r="Z9" s="1"/>
    </row>
    <row r="10" spans="2:27" ht="21" customHeight="1" x14ac:dyDescent="0.25">
      <c r="B10" s="157">
        <v>4</v>
      </c>
      <c r="C10" s="31"/>
      <c r="D10" s="32"/>
      <c r="E10" s="32" t="s">
        <v>75</v>
      </c>
      <c r="F10" s="55" t="e">
        <f>IF(#REF!="CASA",CONCATENATE("C:\Users\studi\Google Drive\CONTABILITA'\2020\",E10," Trimestre\Fatture\",C10,".pdf"),CONCATENATE("C:\Users\Sebastiano\Google Drive\CONTABILITA'\2020\",E10," Trimestre\Fatture\",C10,".pdf"))</f>
        <v>#REF!</v>
      </c>
      <c r="G10" s="26">
        <v>44681</v>
      </c>
      <c r="H10" s="48" t="s">
        <v>27</v>
      </c>
      <c r="I10" s="24">
        <v>2800</v>
      </c>
      <c r="J10" s="57">
        <v>0</v>
      </c>
      <c r="K10" s="57">
        <f t="shared" si="3"/>
        <v>112</v>
      </c>
      <c r="L10" s="57">
        <v>2</v>
      </c>
      <c r="M10" s="58">
        <f t="shared" si="2"/>
        <v>2914</v>
      </c>
      <c r="N10" s="62"/>
      <c r="O10" s="39"/>
      <c r="P10" s="39"/>
      <c r="Q10" s="59"/>
      <c r="R10" s="59"/>
      <c r="S10" s="41"/>
      <c r="T10" s="80"/>
      <c r="U10" s="39"/>
      <c r="V10" s="82"/>
      <c r="W10" s="53"/>
      <c r="X10" s="39"/>
      <c r="Y10" s="1"/>
      <c r="Z10" s="1"/>
    </row>
    <row r="11" spans="2:27" ht="21" customHeight="1" x14ac:dyDescent="0.25">
      <c r="B11" s="157">
        <v>5</v>
      </c>
      <c r="C11" s="33"/>
      <c r="D11" s="32"/>
      <c r="E11" s="32" t="s">
        <v>76</v>
      </c>
      <c r="F11" s="55" t="e">
        <f>IF(#REF!="CASA",CONCATENATE("C:\Users\studi\Google Drive\CONTABILITA'\2020\Fatture\",E11," Trimestre\",C11,".pdf"),CONCATENATE("C:\Users\Sebastiano\Google Drive\CONTABILITA'\2020\Fatture\",E11," Trimestre\",C11,".pdf"))</f>
        <v>#REF!</v>
      </c>
      <c r="G11" s="26">
        <v>44712</v>
      </c>
      <c r="H11" s="48" t="s">
        <v>27</v>
      </c>
      <c r="I11" s="24">
        <v>2800</v>
      </c>
      <c r="J11" s="57">
        <v>0</v>
      </c>
      <c r="K11" s="57">
        <f t="shared" si="3"/>
        <v>112</v>
      </c>
      <c r="L11" s="57">
        <v>2</v>
      </c>
      <c r="M11" s="58">
        <f t="shared" si="2"/>
        <v>2914</v>
      </c>
      <c r="N11" s="62"/>
      <c r="O11" s="39"/>
      <c r="P11" s="39"/>
      <c r="Q11" s="59"/>
      <c r="R11" s="59"/>
      <c r="S11" s="41"/>
      <c r="T11" s="80"/>
      <c r="U11" s="39"/>
      <c r="V11" s="82"/>
      <c r="W11" s="53"/>
      <c r="X11" s="39"/>
      <c r="Y11" s="1"/>
      <c r="Z11" s="1"/>
    </row>
    <row r="12" spans="2:27" ht="21" customHeight="1" x14ac:dyDescent="0.25">
      <c r="B12" s="157">
        <v>6</v>
      </c>
      <c r="C12" s="33"/>
      <c r="D12" s="32"/>
      <c r="E12" s="32" t="s">
        <v>77</v>
      </c>
      <c r="F12" s="55" t="e">
        <f>IF(#REF!="CASA",CONCATENATE("C:\Users\studi\Google Drive\CONTABILITA'\2020\Fatture\",E12," Trimestre\",C12,".pdf"),CONCATENATE("C:\Users\Sebastiano\Google Drive\CONTABILITA'\2020\Fatture\",E12," Trimestre\",C12,".pdf"))</f>
        <v>#REF!</v>
      </c>
      <c r="G12" s="26">
        <v>44712</v>
      </c>
      <c r="H12" s="48" t="s">
        <v>27</v>
      </c>
      <c r="I12" s="24">
        <v>2800</v>
      </c>
      <c r="J12" s="57">
        <v>0</v>
      </c>
      <c r="K12" s="57">
        <f t="shared" ref="K12" si="4">IF(N12="x",0,0.04*I12)</f>
        <v>112</v>
      </c>
      <c r="L12" s="57">
        <v>2</v>
      </c>
      <c r="M12" s="58">
        <f t="shared" ref="M12" si="5">I12+K12+L12</f>
        <v>2914</v>
      </c>
      <c r="N12" s="62"/>
      <c r="O12" s="39"/>
      <c r="P12" s="39"/>
      <c r="Q12" s="59"/>
      <c r="R12" s="59"/>
      <c r="S12" s="41"/>
      <c r="T12" s="80"/>
      <c r="U12" s="39"/>
      <c r="V12" s="82"/>
      <c r="W12" s="53"/>
      <c r="X12" s="39"/>
      <c r="Y12" s="1"/>
      <c r="Z12" s="1"/>
    </row>
    <row r="13" spans="2:27" ht="21" customHeight="1" x14ac:dyDescent="0.25">
      <c r="B13" s="158">
        <v>7</v>
      </c>
      <c r="C13" s="138"/>
      <c r="D13" s="139"/>
      <c r="E13" s="139" t="s">
        <v>77</v>
      </c>
      <c r="F13" s="140"/>
      <c r="G13" s="141">
        <v>44742</v>
      </c>
      <c r="H13" s="142" t="s">
        <v>63</v>
      </c>
      <c r="I13" s="143">
        <v>400</v>
      </c>
      <c r="J13" s="144">
        <v>0</v>
      </c>
      <c r="K13" s="144">
        <f>IF(N13="x",0,0.04*I13)</f>
        <v>16</v>
      </c>
      <c r="L13" s="144">
        <v>2</v>
      </c>
      <c r="M13" s="145">
        <f t="shared" ref="M13" si="6">I13+K13+L13</f>
        <v>418</v>
      </c>
      <c r="N13" s="62"/>
      <c r="O13" s="39"/>
      <c r="P13" s="39"/>
      <c r="Q13" s="59"/>
      <c r="R13" s="161"/>
      <c r="S13" s="41"/>
      <c r="T13" s="80"/>
      <c r="U13" s="39"/>
      <c r="V13" s="82"/>
      <c r="W13" s="53"/>
      <c r="X13" s="39"/>
      <c r="Y13" s="1"/>
      <c r="Z13" s="1"/>
    </row>
    <row r="14" spans="2:27" ht="21" customHeight="1" x14ac:dyDescent="0.25">
      <c r="B14" s="157">
        <v>8</v>
      </c>
      <c r="C14" s="33"/>
      <c r="D14" s="32"/>
      <c r="E14" s="32" t="s">
        <v>78</v>
      </c>
      <c r="F14" s="55" t="e">
        <f>IF(#REF!="CASA",CONCATENATE("C:\Users\studi\Google Drive\CONTABILITA'\2020\Fatture\",E14," Trimestre\",C14,".pdf"),CONCATENATE("C:\Users\Sebastiano\Google Drive\CONTABILITA'\2020\Fatture\",E14," Trimestre\",C14,".pdf"))</f>
        <v>#REF!</v>
      </c>
      <c r="G14" s="26">
        <v>44798</v>
      </c>
      <c r="H14" s="48" t="s">
        <v>27</v>
      </c>
      <c r="I14" s="24">
        <v>2500</v>
      </c>
      <c r="J14" s="57">
        <v>0</v>
      </c>
      <c r="K14" s="57">
        <f t="shared" si="3"/>
        <v>100</v>
      </c>
      <c r="L14" s="57">
        <v>2</v>
      </c>
      <c r="M14" s="58">
        <f t="shared" si="2"/>
        <v>2602</v>
      </c>
      <c r="N14" s="62"/>
      <c r="O14" s="39"/>
      <c r="P14" s="39"/>
      <c r="Q14" s="59"/>
      <c r="R14" s="59"/>
      <c r="S14" s="41"/>
      <c r="T14" s="80"/>
      <c r="U14" s="39"/>
      <c r="V14" s="82"/>
      <c r="W14" s="53"/>
      <c r="X14" s="39"/>
      <c r="Y14" s="1"/>
      <c r="Z14" s="1"/>
    </row>
    <row r="15" spans="2:27" ht="21" customHeight="1" x14ac:dyDescent="0.25">
      <c r="B15" s="159">
        <v>9</v>
      </c>
      <c r="C15" s="242" t="s">
        <v>84</v>
      </c>
      <c r="D15" s="243"/>
      <c r="E15" s="148" t="s">
        <v>79</v>
      </c>
      <c r="F15" s="149" t="e">
        <f>IF(#REF!="CASA",CONCATENATE("C:\Users\studi\Google Drive\CONTABILITA'\2020\Fatture\",E15," Trimestre\",C15,".pdf"),CONCATENATE("C:\Users\Sebastiano\Google Drive\CONTABILITA'\2020\Fatture\",E15," Trimestre\",C15,".pdf"))</f>
        <v>#REF!</v>
      </c>
      <c r="G15" s="150">
        <v>44831</v>
      </c>
      <c r="H15" s="151" t="s">
        <v>27</v>
      </c>
      <c r="I15" s="152">
        <v>1698</v>
      </c>
      <c r="J15" s="153">
        <v>0</v>
      </c>
      <c r="K15" s="153">
        <f>IF(N15="x",0,0.04*I15)</f>
        <v>67.92</v>
      </c>
      <c r="L15" s="153">
        <v>2</v>
      </c>
      <c r="M15" s="154">
        <f t="shared" si="2"/>
        <v>1767.92</v>
      </c>
      <c r="N15" s="62"/>
      <c r="O15" s="39"/>
      <c r="P15" s="39"/>
      <c r="Q15" s="59"/>
      <c r="R15" s="59"/>
      <c r="S15" s="41"/>
      <c r="T15" s="80"/>
      <c r="U15" s="39"/>
      <c r="V15" s="82"/>
      <c r="W15" s="53"/>
      <c r="X15" s="39"/>
      <c r="Y15" s="1"/>
      <c r="Z15" s="1"/>
    </row>
    <row r="16" spans="2:27" ht="21" customHeight="1" x14ac:dyDescent="0.25">
      <c r="B16" s="160">
        <v>1</v>
      </c>
      <c r="C16" s="239" t="s">
        <v>65</v>
      </c>
      <c r="D16" s="239"/>
      <c r="E16" s="155"/>
      <c r="F16" s="89"/>
      <c r="G16" s="90">
        <v>44831</v>
      </c>
      <c r="H16" s="94" t="s">
        <v>27</v>
      </c>
      <c r="I16" s="95">
        <v>-1698</v>
      </c>
      <c r="J16" s="96">
        <v>0</v>
      </c>
      <c r="K16" s="96">
        <f>IF(N16="x",0,0.04*I16)</f>
        <v>-67.92</v>
      </c>
      <c r="L16" s="96">
        <v>-2</v>
      </c>
      <c r="M16" s="97">
        <f t="shared" ref="M16" si="7">I16+K16+L16</f>
        <v>-1767.92</v>
      </c>
      <c r="N16" s="62"/>
      <c r="O16" s="39"/>
      <c r="P16" s="39"/>
      <c r="Q16" s="39"/>
      <c r="R16" s="41"/>
      <c r="S16" s="39"/>
      <c r="T16" s="59"/>
      <c r="U16" s="59"/>
      <c r="V16" s="41"/>
      <c r="W16" s="80"/>
      <c r="X16" s="39"/>
      <c r="Y16" s="82"/>
      <c r="Z16" s="53"/>
      <c r="AA16" s="39"/>
    </row>
    <row r="17" spans="2:27" ht="21" customHeight="1" x14ac:dyDescent="0.25">
      <c r="B17" s="157">
        <v>10</v>
      </c>
      <c r="C17" s="33"/>
      <c r="D17" s="32"/>
      <c r="E17" s="32" t="s">
        <v>79</v>
      </c>
      <c r="F17" s="55" t="e">
        <f>IF(#REF!="CASA",CONCATENATE("C:\Users\studi\Google Drive\CONTABILITA'\2020\Fatture\",E17," Trimestre\",C17,".pdf"),CONCATENATE("C:\Users\Sebastiano\Google Drive\CONTABILITA'\2020\Fatture\",E17," Trimestre\",C17,".pdf"))</f>
        <v>#REF!</v>
      </c>
      <c r="G17" s="26">
        <v>44833</v>
      </c>
      <c r="H17" s="48" t="s">
        <v>27</v>
      </c>
      <c r="I17" s="24">
        <v>1632.69</v>
      </c>
      <c r="J17" s="57">
        <v>0</v>
      </c>
      <c r="K17" s="57">
        <f t="shared" si="3"/>
        <v>65.307600000000008</v>
      </c>
      <c r="L17" s="57">
        <v>2</v>
      </c>
      <c r="M17" s="58">
        <f t="shared" ref="M17:M21" si="8">I17+K17+L17</f>
        <v>1699.9976000000001</v>
      </c>
      <c r="N17" s="62"/>
      <c r="O17" s="61"/>
      <c r="P17" s="39"/>
      <c r="Q17" s="3" t="s">
        <v>31</v>
      </c>
      <c r="R17" s="18">
        <v>0.78</v>
      </c>
      <c r="S17" s="39"/>
      <c r="T17" s="59"/>
      <c r="U17" s="59"/>
      <c r="V17" s="41"/>
      <c r="W17" s="80"/>
      <c r="X17" s="39"/>
      <c r="Y17" s="82"/>
      <c r="Z17" s="53"/>
      <c r="AA17" s="39"/>
    </row>
    <row r="18" spans="2:27" ht="21" customHeight="1" x14ac:dyDescent="0.25">
      <c r="B18" s="157">
        <v>11</v>
      </c>
      <c r="C18" s="240" t="s">
        <v>89</v>
      </c>
      <c r="D18" s="241"/>
      <c r="E18" s="32" t="s">
        <v>80</v>
      </c>
      <c r="F18" s="55" t="e">
        <f>IF(#REF!="CASA",CONCATENATE("C:\Users\studi\Google Drive\CONTABILITA'\2020\Fatture\",E18," Trimestre\",C18,".pdf"),CONCATENATE("C:\Users\Sebastiano\Google Drive\CONTABILITA'\2020\Fatture\",E18," Trimestre\",C18,".pdf"))</f>
        <v>#REF!</v>
      </c>
      <c r="G18" s="26">
        <v>44833</v>
      </c>
      <c r="H18" s="48" t="s">
        <v>27</v>
      </c>
      <c r="I18" s="24">
        <v>2500</v>
      </c>
      <c r="J18" s="57">
        <v>0</v>
      </c>
      <c r="K18" s="57">
        <f t="shared" si="3"/>
        <v>100</v>
      </c>
      <c r="L18" s="57">
        <v>2</v>
      </c>
      <c r="M18" s="58">
        <f t="shared" si="8"/>
        <v>2602</v>
      </c>
      <c r="N18" s="62"/>
      <c r="O18" s="39"/>
      <c r="P18" s="39"/>
      <c r="Q18" s="41"/>
      <c r="R18" s="18"/>
      <c r="S18" s="17"/>
      <c r="T18" s="59"/>
      <c r="U18" s="59"/>
      <c r="V18" s="41"/>
      <c r="W18" s="80"/>
      <c r="X18" s="39"/>
      <c r="Y18" s="82"/>
      <c r="Z18" s="53"/>
      <c r="AA18" s="39"/>
    </row>
    <row r="19" spans="2:27" ht="21" customHeight="1" x14ac:dyDescent="0.25">
      <c r="B19" s="157">
        <v>12</v>
      </c>
      <c r="C19" s="31"/>
      <c r="D19" s="32"/>
      <c r="E19" s="32" t="s">
        <v>81</v>
      </c>
      <c r="F19" s="55" t="e">
        <f>IF(#REF!="CASA",CONCATENATE("C:\Users\studi\Google Drive\CONTABILITA'\2020\Fatture\",E19," Trimestre\",C19,".pdf"),CONCATENATE("C:\Users\Sebastiano\Google Drive\CONTABILITA'\2020\Fatture\",E19," Trimestre\",C19,".pdf"))</f>
        <v>#REF!</v>
      </c>
      <c r="G19" s="26">
        <v>44895</v>
      </c>
      <c r="H19" s="48" t="s">
        <v>27</v>
      </c>
      <c r="I19" s="24">
        <v>2500</v>
      </c>
      <c r="J19" s="57">
        <v>0</v>
      </c>
      <c r="K19" s="57">
        <f t="shared" si="3"/>
        <v>100</v>
      </c>
      <c r="L19" s="57">
        <v>2</v>
      </c>
      <c r="M19" s="58">
        <f t="shared" si="8"/>
        <v>2602</v>
      </c>
      <c r="N19" s="62"/>
      <c r="O19" s="39"/>
      <c r="P19" s="39"/>
      <c r="Q19" s="17" t="s">
        <v>32</v>
      </c>
      <c r="R19" s="62"/>
      <c r="S19" s="3"/>
      <c r="T19" s="59"/>
      <c r="U19" s="59"/>
      <c r="V19" s="41"/>
      <c r="W19" s="80"/>
      <c r="X19" s="39"/>
      <c r="Y19" s="82"/>
      <c r="Z19" s="53"/>
      <c r="AA19" s="39"/>
    </row>
    <row r="20" spans="2:27" ht="21" customHeight="1" x14ac:dyDescent="0.25">
      <c r="B20" s="157">
        <v>13</v>
      </c>
      <c r="C20" s="31"/>
      <c r="D20" s="32"/>
      <c r="E20" s="32" t="s">
        <v>85</v>
      </c>
      <c r="F20" s="55" t="e">
        <f>IF(#REF!="CASA",CONCATENATE("C:\Users\studi\Google Drive\CONTABILITA'\2020\Fatture\",E20," Trimestre\",C20,".pdf"),CONCATENATE("C:\Users\Sebastiano\Google Drive\CONTABILITA'\2020\Fatture\",E20," Trimestre\",C20,".pdf"))</f>
        <v>#REF!</v>
      </c>
      <c r="G20" s="26">
        <v>44900</v>
      </c>
      <c r="H20" s="48" t="s">
        <v>27</v>
      </c>
      <c r="I20" s="24">
        <v>865.38</v>
      </c>
      <c r="J20" s="57">
        <v>0</v>
      </c>
      <c r="K20" s="57">
        <f t="shared" ref="K20:K21" si="9">IF(N20="x",0,0.04*I20)</f>
        <v>34.615200000000002</v>
      </c>
      <c r="L20" s="57">
        <v>2</v>
      </c>
      <c r="M20" s="58">
        <f t="shared" si="8"/>
        <v>901.99519999999995</v>
      </c>
      <c r="N20" s="62"/>
      <c r="O20" s="39"/>
      <c r="P20" s="36" t="s">
        <v>33</v>
      </c>
      <c r="Q20" s="62">
        <f>I31</f>
        <v>32198.07</v>
      </c>
      <c r="R20" s="62"/>
      <c r="S20" s="36"/>
      <c r="T20" s="59"/>
      <c r="U20" s="41"/>
      <c r="V20" s="63"/>
      <c r="W20" s="63"/>
      <c r="X20" s="39"/>
      <c r="Y20" s="82"/>
      <c r="Z20" s="53"/>
      <c r="AA20" s="39"/>
    </row>
    <row r="21" spans="2:27" ht="21" customHeight="1" x14ac:dyDescent="0.25">
      <c r="B21" s="157">
        <v>14</v>
      </c>
      <c r="C21" s="31"/>
      <c r="D21" s="32"/>
      <c r="E21" s="32" t="s">
        <v>82</v>
      </c>
      <c r="F21" s="55" t="e">
        <f>IF(#REF!="CASA",CONCATENATE("C:\Users\studi\Google Drive\CONTABILITA'\2020\Fatture\",E21," Trimestre\",C21,".pdf"),CONCATENATE("C:\Users\Sebastiano\Google Drive\CONTABILITA'\2020\Fatture\",E21," Trimestre\",C21,".pdf"))</f>
        <v>#REF!</v>
      </c>
      <c r="G21" s="26">
        <v>44922</v>
      </c>
      <c r="H21" s="48" t="s">
        <v>27</v>
      </c>
      <c r="I21" s="24">
        <v>2500</v>
      </c>
      <c r="J21" s="57">
        <v>0</v>
      </c>
      <c r="K21" s="57">
        <f t="shared" si="9"/>
        <v>100</v>
      </c>
      <c r="L21" s="57">
        <v>2</v>
      </c>
      <c r="M21" s="58">
        <f t="shared" si="8"/>
        <v>2602</v>
      </c>
      <c r="N21" s="62"/>
      <c r="O21" s="39"/>
      <c r="P21" s="39" t="s">
        <v>35</v>
      </c>
      <c r="Q21" s="62">
        <f>Q20+SUM(L5:L29)</f>
        <v>32228.07</v>
      </c>
      <c r="R21" s="62"/>
      <c r="S21" s="36"/>
      <c r="T21" s="59"/>
      <c r="U21" s="41"/>
      <c r="V21" s="63"/>
      <c r="W21" s="63"/>
      <c r="X21" s="39"/>
      <c r="Y21" s="41"/>
      <c r="Z21" s="53"/>
      <c r="AA21" s="39"/>
    </row>
    <row r="22" spans="2:27" ht="21" customHeight="1" x14ac:dyDescent="0.25">
      <c r="B22" s="26"/>
      <c r="C22" s="31"/>
      <c r="D22" s="32"/>
      <c r="E22" s="32"/>
      <c r="F22" s="55"/>
      <c r="G22" s="26"/>
      <c r="H22" s="48"/>
      <c r="I22" s="24"/>
      <c r="J22" s="57"/>
      <c r="K22" s="57"/>
      <c r="L22" s="57"/>
      <c r="M22" s="58"/>
      <c r="N22" s="62"/>
      <c r="O22" s="39"/>
      <c r="P22" s="36" t="s">
        <v>37</v>
      </c>
      <c r="Q22" s="62"/>
      <c r="R22" s="62"/>
      <c r="S22" s="36"/>
      <c r="T22" s="41"/>
      <c r="U22" s="41"/>
      <c r="V22" s="231" t="s">
        <v>91</v>
      </c>
      <c r="W22" s="232"/>
      <c r="X22" s="39"/>
      <c r="Y22" s="231" t="s">
        <v>99</v>
      </c>
      <c r="Z22" s="232"/>
      <c r="AA22" s="39"/>
    </row>
    <row r="23" spans="2:27" ht="21" customHeight="1" x14ac:dyDescent="0.25">
      <c r="B23" s="26"/>
      <c r="C23" s="31"/>
      <c r="D23" s="32"/>
      <c r="E23" s="32"/>
      <c r="F23" s="55"/>
      <c r="G23" s="26"/>
      <c r="H23" s="48"/>
      <c r="I23" s="24"/>
      <c r="J23" s="57"/>
      <c r="K23" s="57"/>
      <c r="L23" s="57"/>
      <c r="M23" s="58"/>
      <c r="N23" s="62"/>
      <c r="O23" s="39"/>
      <c r="P23" s="36" t="s">
        <v>38</v>
      </c>
      <c r="Q23" s="62">
        <f>0.78*Q20</f>
        <v>25114.494600000002</v>
      </c>
      <c r="R23" s="4"/>
      <c r="S23" s="128" t="s">
        <v>64</v>
      </c>
      <c r="T23" s="128" t="s">
        <v>66</v>
      </c>
      <c r="U23" s="41"/>
      <c r="V23" s="162"/>
      <c r="W23" s="163">
        <v>3137.55</v>
      </c>
      <c r="X23" s="39"/>
      <c r="Y23" s="162"/>
      <c r="Z23" s="163">
        <v>3119</v>
      </c>
      <c r="AA23" s="39"/>
    </row>
    <row r="24" spans="2:27" ht="21" customHeight="1" x14ac:dyDescent="0.25">
      <c r="B24" s="26"/>
      <c r="C24" s="31"/>
      <c r="D24" s="32"/>
      <c r="E24" s="32"/>
      <c r="F24" s="55"/>
      <c r="G24" s="26"/>
      <c r="H24" s="48"/>
      <c r="I24" s="24"/>
      <c r="J24" s="57"/>
      <c r="K24" s="57"/>
      <c r="L24" s="60"/>
      <c r="M24" s="58"/>
      <c r="N24" s="62"/>
      <c r="O24" s="39"/>
      <c r="P24" s="36" t="s">
        <v>39</v>
      </c>
      <c r="Q24" s="4">
        <f>0.15*(Q23-4346)</f>
        <v>3115.2741900000001</v>
      </c>
      <c r="R24" s="41"/>
      <c r="S24" s="53">
        <f>2161.5*2</f>
        <v>4323</v>
      </c>
      <c r="T24" s="129">
        <f>Q24-S24</f>
        <v>-1207.7258099999999</v>
      </c>
      <c r="U24" s="41"/>
      <c r="V24" s="63"/>
      <c r="W24" s="63"/>
      <c r="X24" s="39"/>
      <c r="Y24" s="41"/>
      <c r="Z24" s="41"/>
      <c r="AA24" s="39"/>
    </row>
    <row r="25" spans="2:27" ht="21" customHeight="1" x14ac:dyDescent="0.25">
      <c r="B25" s="26"/>
      <c r="C25" s="31"/>
      <c r="D25" s="32"/>
      <c r="E25" s="32"/>
      <c r="F25" s="55"/>
      <c r="G25" s="26"/>
      <c r="H25" s="48"/>
      <c r="I25" s="24"/>
      <c r="J25" s="60"/>
      <c r="K25" s="60"/>
      <c r="L25" s="60"/>
      <c r="M25" s="58"/>
      <c r="N25" s="62"/>
      <c r="O25" s="39"/>
      <c r="P25" s="65"/>
      <c r="Q25" s="18"/>
      <c r="R25" s="41"/>
      <c r="S25" s="39"/>
      <c r="T25" s="41"/>
      <c r="U25" s="41"/>
      <c r="V25" s="41"/>
      <c r="W25" s="39"/>
      <c r="X25" s="39"/>
      <c r="Y25" s="41"/>
      <c r="Z25" s="41"/>
      <c r="AA25" s="39"/>
    </row>
    <row r="26" spans="2:27" ht="21" customHeight="1" x14ac:dyDescent="0.25">
      <c r="B26" s="26"/>
      <c r="C26" s="31"/>
      <c r="D26" s="32"/>
      <c r="E26" s="32"/>
      <c r="F26" s="55"/>
      <c r="G26" s="26"/>
      <c r="H26" s="48"/>
      <c r="I26" s="24"/>
      <c r="J26" s="60"/>
      <c r="K26" s="60"/>
      <c r="L26" s="60"/>
      <c r="M26" s="58"/>
      <c r="N26" s="62"/>
      <c r="O26" s="39"/>
      <c r="P26" s="3" t="s">
        <v>40</v>
      </c>
      <c r="Q26" s="39"/>
      <c r="R26" s="62"/>
      <c r="S26" s="128" t="s">
        <v>64</v>
      </c>
      <c r="T26" s="128" t="s">
        <v>66</v>
      </c>
      <c r="U26" s="41"/>
      <c r="V26" s="41"/>
      <c r="W26" s="39"/>
      <c r="X26" s="39"/>
      <c r="Y26" s="41"/>
      <c r="Z26" s="41"/>
      <c r="AA26" s="39"/>
    </row>
    <row r="27" spans="2:27" ht="21" customHeight="1" x14ac:dyDescent="0.25">
      <c r="B27" s="26"/>
      <c r="C27" s="31"/>
      <c r="D27" s="32"/>
      <c r="E27" s="32"/>
      <c r="F27" s="55"/>
      <c r="G27" s="26"/>
      <c r="H27" s="48"/>
      <c r="I27" s="24"/>
      <c r="J27" s="60"/>
      <c r="K27" s="60"/>
      <c r="L27" s="60"/>
      <c r="M27" s="58"/>
      <c r="N27" s="62"/>
      <c r="O27" s="39"/>
      <c r="P27" s="66" t="s">
        <v>41</v>
      </c>
      <c r="Q27" s="67">
        <f>MAX(780,0.0725*Q23)</f>
        <v>1820.8008585</v>
      </c>
      <c r="R27" s="62"/>
      <c r="S27" s="53">
        <v>539</v>
      </c>
      <c r="T27" s="129">
        <f>Q27-S27</f>
        <v>1281.8008585</v>
      </c>
      <c r="U27" s="41"/>
      <c r="V27" s="41"/>
      <c r="W27" s="39"/>
      <c r="X27" s="39"/>
      <c r="Y27" s="41"/>
      <c r="Z27" s="41"/>
      <c r="AA27" s="39"/>
    </row>
    <row r="28" spans="2:27" ht="21" customHeight="1" x14ac:dyDescent="0.25">
      <c r="B28" s="26"/>
      <c r="C28" s="31"/>
      <c r="D28" s="32"/>
      <c r="E28" s="32"/>
      <c r="F28" s="55"/>
      <c r="G28" s="26"/>
      <c r="H28" s="48"/>
      <c r="I28" s="24"/>
      <c r="J28" s="60"/>
      <c r="K28" s="60"/>
      <c r="L28" s="60"/>
      <c r="M28" s="58"/>
      <c r="N28" s="62"/>
      <c r="O28" s="39"/>
      <c r="P28" s="36" t="s">
        <v>42</v>
      </c>
      <c r="Q28" s="62">
        <f>MAX(231.5,K30)</f>
        <v>1267.9228000000001</v>
      </c>
      <c r="R28" s="62"/>
      <c r="S28" s="53">
        <v>530</v>
      </c>
      <c r="T28" s="129">
        <f>Q28-S28</f>
        <v>737.92280000000005</v>
      </c>
      <c r="U28" s="41"/>
      <c r="V28" s="41"/>
      <c r="W28" s="39"/>
      <c r="X28" s="39"/>
      <c r="Y28" s="41"/>
      <c r="Z28" s="41"/>
      <c r="AA28" s="39"/>
    </row>
    <row r="29" spans="2:27" ht="21" customHeight="1" x14ac:dyDescent="0.25">
      <c r="B29" s="29"/>
      <c r="C29" s="34"/>
      <c r="D29" s="35"/>
      <c r="E29" s="35"/>
      <c r="F29" s="69"/>
      <c r="G29" s="29"/>
      <c r="H29" s="72"/>
      <c r="I29" s="25"/>
      <c r="J29" s="73"/>
      <c r="K29" s="73"/>
      <c r="L29" s="73"/>
      <c r="M29" s="74"/>
      <c r="N29" s="62"/>
      <c r="O29" s="39"/>
      <c r="P29" s="36" t="s">
        <v>43</v>
      </c>
      <c r="Q29" s="62">
        <v>44</v>
      </c>
      <c r="R29" s="4"/>
      <c r="S29" s="53">
        <v>2066.5500000000002</v>
      </c>
      <c r="T29" s="129">
        <f>Q29-S29</f>
        <v>-2022.5500000000002</v>
      </c>
      <c r="U29" s="41"/>
      <c r="V29" s="41"/>
      <c r="W29" s="39"/>
      <c r="X29" s="39"/>
      <c r="Y29" s="41"/>
      <c r="Z29" s="41"/>
      <c r="AA29" s="39"/>
    </row>
    <row r="30" spans="2:27" ht="24.95" customHeight="1" x14ac:dyDescent="0.25">
      <c r="B30" s="39"/>
      <c r="C30" s="41"/>
      <c r="D30" s="41"/>
      <c r="E30" s="41"/>
      <c r="F30" s="41"/>
      <c r="G30" s="39"/>
      <c r="H30" s="39" t="s">
        <v>44</v>
      </c>
      <c r="I30" s="75">
        <f>SUBTOTAL(9,I5:I29)</f>
        <v>32198.07</v>
      </c>
      <c r="J30" s="76"/>
      <c r="K30" s="75">
        <f>SUBTOTAL(9,K5:K29)</f>
        <v>1267.9228000000001</v>
      </c>
      <c r="L30" s="12" t="s">
        <v>45</v>
      </c>
      <c r="M30" s="11">
        <f>SUBTOTAL(9,M5:M29)</f>
        <v>33495.9928</v>
      </c>
      <c r="N30" s="4"/>
      <c r="O30" s="39"/>
      <c r="P30" s="39"/>
      <c r="Q30" s="4">
        <f>SUM(Q27:Q29)</f>
        <v>3132.7236585000001</v>
      </c>
      <c r="R30" s="41"/>
      <c r="S30" s="4">
        <f>SUM(S27:S29)</f>
        <v>3135.55</v>
      </c>
      <c r="T30" s="4">
        <f t="shared" ref="T30" si="10">SUM(T27:T29)</f>
        <v>-2.826341500000126</v>
      </c>
      <c r="U30" s="41"/>
      <c r="V30" s="41"/>
      <c r="W30" s="39"/>
      <c r="X30" s="39"/>
      <c r="Y30" s="41"/>
      <c r="Z30" s="41"/>
      <c r="AA30" s="39"/>
    </row>
    <row r="31" spans="2:27" ht="24.95" customHeight="1" x14ac:dyDescent="0.25">
      <c r="B31" s="39"/>
      <c r="C31" s="41"/>
      <c r="D31" s="41"/>
      <c r="E31" s="41"/>
      <c r="F31" s="19"/>
      <c r="G31" s="39"/>
      <c r="H31" s="39" t="s">
        <v>46</v>
      </c>
      <c r="I31" s="77">
        <f>SUM(I5:I29)</f>
        <v>32198.07</v>
      </c>
      <c r="J31" s="61"/>
      <c r="K31" s="41"/>
      <c r="L31" s="39"/>
      <c r="M31" s="39"/>
      <c r="N31" s="39"/>
      <c r="O31" s="39"/>
      <c r="Q31" s="1"/>
      <c r="R31" s="1"/>
      <c r="T31" s="41"/>
      <c r="U31" s="41"/>
      <c r="V31" s="41"/>
      <c r="W31" s="39"/>
      <c r="X31" s="39"/>
      <c r="Y31" s="41"/>
      <c r="Z31" s="41"/>
      <c r="AA31" s="39"/>
    </row>
    <row r="32" spans="2:27" ht="24.95" customHeight="1" x14ac:dyDescent="0.25">
      <c r="B32" s="39"/>
      <c r="C32" s="41"/>
      <c r="D32" s="41"/>
      <c r="E32" s="41"/>
      <c r="F32" s="41"/>
      <c r="G32" s="39"/>
      <c r="H32" s="39"/>
      <c r="I32" s="78"/>
      <c r="J32" s="61"/>
      <c r="K32" s="41"/>
      <c r="L32" s="39"/>
      <c r="M32" s="39"/>
      <c r="N32" s="39"/>
      <c r="O32" s="39"/>
      <c r="P32" s="38"/>
      <c r="Q32" s="51">
        <f>(M30-Q33)/M30</f>
        <v>0.18652971075692371</v>
      </c>
      <c r="R32" s="51">
        <f>1-(I30-Q24-Q27-Q29)/I30</f>
        <v>0.15466998638427709</v>
      </c>
      <c r="S32" s="83"/>
      <c r="T32" s="53"/>
      <c r="U32" s="41"/>
      <c r="V32" s="41"/>
      <c r="W32" s="39"/>
      <c r="X32" s="39"/>
      <c r="Y32" s="41"/>
      <c r="Z32" s="41"/>
      <c r="AA32" s="39"/>
    </row>
    <row r="33" spans="2:27" ht="24.95" customHeight="1" x14ac:dyDescent="0.25">
      <c r="B33" s="39"/>
      <c r="C33" s="41"/>
      <c r="D33" s="41"/>
      <c r="E33" s="41"/>
      <c r="F33" s="41"/>
      <c r="G33" s="39" t="s">
        <v>110</v>
      </c>
      <c r="H33" s="176">
        <f>H34*0.78*0+25138</f>
        <v>25138</v>
      </c>
      <c r="I33" s="39" t="s">
        <v>117</v>
      </c>
      <c r="J33" s="39"/>
      <c r="K33" s="39"/>
      <c r="L33" s="41"/>
      <c r="M33" s="39"/>
      <c r="N33" s="39"/>
      <c r="O33" s="79"/>
      <c r="P33" s="46" t="s">
        <v>56</v>
      </c>
      <c r="Q33" s="47">
        <f>M30-Q24-Q30</f>
        <v>27247.994951500001</v>
      </c>
      <c r="R33" s="62"/>
      <c r="S33" s="39"/>
      <c r="T33" s="53"/>
      <c r="U33" s="41"/>
      <c r="V33" s="41"/>
      <c r="W33" s="39"/>
      <c r="X33" s="39"/>
      <c r="Y33" s="41"/>
      <c r="Z33" s="41"/>
      <c r="AA33" s="39"/>
    </row>
    <row r="34" spans="2:27" ht="24.95" customHeight="1" x14ac:dyDescent="0.25">
      <c r="B34" s="39"/>
      <c r="C34" s="41"/>
      <c r="D34" s="41"/>
      <c r="E34" s="41"/>
      <c r="F34" s="41"/>
      <c r="G34" s="39" t="s">
        <v>111</v>
      </c>
      <c r="H34" s="176">
        <f>(SUM(I5:I29)+SUM(L5:L29))*0+32228</f>
        <v>32228</v>
      </c>
      <c r="I34" s="39" t="s">
        <v>116</v>
      </c>
      <c r="J34" s="39"/>
      <c r="K34" s="39"/>
      <c r="L34" s="41"/>
      <c r="M34" s="50"/>
      <c r="N34" s="50"/>
      <c r="O34" s="50"/>
      <c r="P34" s="39"/>
      <c r="Q34" s="41"/>
      <c r="R34" s="41"/>
      <c r="U34" s="41"/>
      <c r="V34" s="41"/>
      <c r="W34" s="39"/>
      <c r="X34" s="39"/>
      <c r="Y34" s="41"/>
      <c r="Z34" s="41"/>
      <c r="AA34" s="39"/>
    </row>
    <row r="35" spans="2:27" ht="24.95" customHeight="1" x14ac:dyDescent="0.25">
      <c r="B35" s="39"/>
      <c r="C35" s="41"/>
      <c r="D35" s="41"/>
      <c r="E35" s="41"/>
      <c r="F35" s="41"/>
      <c r="G35" s="39" t="s">
        <v>112</v>
      </c>
      <c r="H35" s="173">
        <f>SUMIFS(I5:I29,N5:N29,I35)+SUMIFS(L5:L29,N5:N29,I35)</f>
        <v>31726.07</v>
      </c>
      <c r="I35" s="39" t="str">
        <f>""</f>
        <v/>
      </c>
      <c r="J35" s="39"/>
      <c r="K35" s="39"/>
      <c r="L35" s="41"/>
      <c r="M35" s="39"/>
      <c r="N35" s="39"/>
      <c r="O35" s="39"/>
      <c r="P35" s="46" t="s">
        <v>57</v>
      </c>
      <c r="Q35" s="47">
        <f>Q33/12</f>
        <v>2270.6662459583335</v>
      </c>
      <c r="R35" s="41"/>
      <c r="S35" s="39" t="s">
        <v>71</v>
      </c>
      <c r="T35" s="82">
        <f>T24+T30</f>
        <v>-1210.5521515</v>
      </c>
      <c r="U35" s="41"/>
      <c r="V35" s="41"/>
      <c r="W35" s="39"/>
      <c r="X35" s="39"/>
      <c r="Y35" s="41"/>
      <c r="Z35" s="41"/>
      <c r="AA35" s="39"/>
    </row>
    <row r="36" spans="2:27" ht="24.95" customHeight="1" x14ac:dyDescent="0.25">
      <c r="B36" s="39"/>
      <c r="C36" s="41"/>
      <c r="D36" s="41"/>
      <c r="E36" s="41"/>
      <c r="F36" s="41"/>
      <c r="G36" s="39" t="s">
        <v>113</v>
      </c>
      <c r="H36" s="173">
        <f>SUMIFS(I5:I29,N5:N29,I36)+SUMIFS(L5:L29,N5:N29,I36)</f>
        <v>502</v>
      </c>
      <c r="I36" s="39" t="s">
        <v>22</v>
      </c>
      <c r="J36" s="39"/>
      <c r="K36" s="39"/>
      <c r="L36" s="41"/>
      <c r="M36" s="39"/>
      <c r="N36" s="39"/>
      <c r="O36" s="39"/>
      <c r="P36" s="46" t="s">
        <v>94</v>
      </c>
      <c r="Q36" s="47">
        <f>Q35/13*12</f>
        <v>2095.9996116538464</v>
      </c>
      <c r="R36" s="41"/>
      <c r="S36" s="39"/>
      <c r="T36" s="41"/>
      <c r="U36" s="41"/>
      <c r="V36" s="41"/>
      <c r="W36" s="39"/>
      <c r="X36" s="39"/>
      <c r="Y36" s="41"/>
      <c r="Z36" s="41"/>
      <c r="AA36" s="39"/>
    </row>
    <row r="37" spans="2:27" ht="24.95" customHeight="1" x14ac:dyDescent="0.25">
      <c r="B37" s="39"/>
      <c r="C37" s="41"/>
      <c r="D37" s="41"/>
      <c r="E37" s="41"/>
      <c r="F37" s="41"/>
      <c r="G37" s="39" t="s">
        <v>114</v>
      </c>
      <c r="H37" s="174">
        <f>H35</f>
        <v>31726.07</v>
      </c>
      <c r="I37" s="39"/>
      <c r="J37" s="39"/>
      <c r="K37" s="39"/>
      <c r="L37" s="41"/>
      <c r="M37" s="39"/>
      <c r="N37" s="39"/>
      <c r="O37" s="39"/>
      <c r="P37" s="39"/>
      <c r="Q37" s="39"/>
      <c r="R37" s="1"/>
      <c r="T37" s="41"/>
      <c r="U37" s="41"/>
      <c r="V37" s="41"/>
      <c r="W37" s="39"/>
      <c r="X37" s="39"/>
      <c r="Y37" s="41"/>
      <c r="Z37" s="41"/>
      <c r="AA37" s="39"/>
    </row>
    <row r="38" spans="2:27" ht="24.95" customHeight="1" x14ac:dyDescent="0.25">
      <c r="G38" s="39" t="s">
        <v>115</v>
      </c>
      <c r="H38" s="175">
        <f>K30</f>
        <v>1267.9228000000001</v>
      </c>
    </row>
  </sheetData>
  <mergeCells count="8">
    <mergeCell ref="V22:W22"/>
    <mergeCell ref="Y22:Z22"/>
    <mergeCell ref="C16:D16"/>
    <mergeCell ref="C18:D18"/>
    <mergeCell ref="C1:M1"/>
    <mergeCell ref="C2:M2"/>
    <mergeCell ref="C15:D15"/>
    <mergeCell ref="C4:D4"/>
  </mergeCells>
  <phoneticPr fontId="12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A348-A131-4A08-81B2-A54E0643BE08}">
  <sheetPr codeName="Foglio3"/>
  <dimension ref="B1:AA38"/>
  <sheetViews>
    <sheetView showGridLines="0" zoomScale="85" zoomScaleNormal="85" workbookViewId="0">
      <selection activeCell="L5" activeCellId="1" sqref="I5:I10 L5:L10"/>
    </sheetView>
  </sheetViews>
  <sheetFormatPr defaultColWidth="9.140625" defaultRowHeight="24.95" customHeight="1" x14ac:dyDescent="0.25"/>
  <cols>
    <col min="1" max="1" width="3.42578125" style="1" customWidth="1"/>
    <col min="2" max="2" width="9.140625" style="1" customWidth="1"/>
    <col min="3" max="3" width="8.140625" style="2" customWidth="1"/>
    <col min="4" max="4" width="8.7109375" style="2" bestFit="1" customWidth="1"/>
    <col min="5" max="5" width="12.28515625" style="2" customWidth="1"/>
    <col min="6" max="6" width="61.7109375" style="2" hidden="1" customWidth="1"/>
    <col min="7" max="7" width="11.28515625" style="1" customWidth="1"/>
    <col min="8" max="8" width="20.7109375" style="1" customWidth="1"/>
    <col min="9" max="9" width="14.28515625" style="1" customWidth="1"/>
    <col min="10" max="10" width="12.28515625" style="1" customWidth="1"/>
    <col min="11" max="11" width="10.7109375" style="1" customWidth="1"/>
    <col min="12" max="12" width="11.28515625" style="2" customWidth="1"/>
    <col min="13" max="14" width="10.140625" style="1" customWidth="1"/>
    <col min="15" max="15" width="13.5703125" style="1" customWidth="1"/>
    <col min="16" max="16" width="25" style="1" customWidth="1"/>
    <col min="17" max="17" width="18" style="2" customWidth="1"/>
    <col min="18" max="18" width="40.140625" style="2" customWidth="1"/>
    <col min="19" max="19" width="17.7109375" style="1" customWidth="1"/>
    <col min="20" max="20" width="12.28515625" style="2" customWidth="1"/>
    <col min="21" max="21" width="24.140625" style="2" customWidth="1"/>
    <col min="22" max="22" width="17.140625" style="2" customWidth="1"/>
    <col min="23" max="23" width="9.42578125" style="1" customWidth="1"/>
    <col min="24" max="24" width="13.7109375" style="1" customWidth="1"/>
    <col min="25" max="25" width="12.85546875" style="2" customWidth="1"/>
    <col min="26" max="26" width="11.42578125" style="2" customWidth="1"/>
    <col min="27" max="16384" width="9.140625" style="1"/>
  </cols>
  <sheetData>
    <row r="1" spans="2:27" ht="28.5" customHeight="1" x14ac:dyDescent="0.25">
      <c r="B1" s="39"/>
      <c r="C1" s="229" t="s">
        <v>0</v>
      </c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86"/>
      <c r="O1" s="39"/>
      <c r="P1" s="39"/>
      <c r="Q1" s="41"/>
      <c r="R1" s="41"/>
      <c r="S1" s="39"/>
      <c r="T1" s="41"/>
      <c r="U1" s="41"/>
      <c r="V1" s="41"/>
      <c r="W1" s="39"/>
      <c r="X1" s="39"/>
      <c r="Y1" s="41"/>
      <c r="Z1" s="41"/>
      <c r="AA1" s="39"/>
    </row>
    <row r="2" spans="2:27" ht="13.5" customHeight="1" x14ac:dyDescent="0.25">
      <c r="B2" s="39"/>
      <c r="C2" s="230" t="s">
        <v>93</v>
      </c>
      <c r="D2" s="230"/>
      <c r="E2" s="230"/>
      <c r="F2" s="230"/>
      <c r="G2" s="230"/>
      <c r="H2" s="230"/>
      <c r="I2" s="230"/>
      <c r="J2" s="230" t="s">
        <v>2</v>
      </c>
      <c r="K2" s="230"/>
      <c r="L2" s="230"/>
      <c r="M2" s="230"/>
      <c r="N2" s="18"/>
      <c r="O2" s="39"/>
      <c r="P2" s="39"/>
      <c r="Q2" s="41"/>
      <c r="R2" s="41"/>
      <c r="S2" s="39"/>
      <c r="T2" s="41"/>
      <c r="U2" s="41"/>
      <c r="V2" s="41"/>
      <c r="W2" s="39"/>
      <c r="X2" s="39"/>
      <c r="Y2" s="41"/>
      <c r="Z2" s="41"/>
      <c r="AA2" s="39"/>
    </row>
    <row r="3" spans="2:27" ht="24.95" customHeight="1" x14ac:dyDescent="0.25">
      <c r="B3" s="39"/>
      <c r="C3" s="41"/>
      <c r="D3" s="41"/>
      <c r="E3" s="13"/>
      <c r="F3" s="13"/>
      <c r="G3" s="39"/>
      <c r="H3" s="54"/>
      <c r="I3" s="39"/>
      <c r="J3" s="39"/>
      <c r="K3" s="39"/>
      <c r="L3" s="41"/>
      <c r="M3" s="39"/>
      <c r="N3" s="39"/>
      <c r="O3" s="39"/>
      <c r="P3" s="39"/>
      <c r="Q3" s="41"/>
      <c r="R3" s="41"/>
      <c r="S3" s="39"/>
      <c r="T3" s="41"/>
      <c r="U3" s="41"/>
      <c r="V3" s="41"/>
      <c r="W3" s="39"/>
      <c r="X3" s="39"/>
      <c r="Y3" s="41"/>
      <c r="Z3" s="41"/>
      <c r="AA3" s="39"/>
    </row>
    <row r="4" spans="2:27" ht="47.45" customHeight="1" x14ac:dyDescent="0.2">
      <c r="B4" s="5" t="s">
        <v>88</v>
      </c>
      <c r="C4" s="244" t="s">
        <v>87</v>
      </c>
      <c r="D4" s="245"/>
      <c r="E4" s="14" t="s">
        <v>86</v>
      </c>
      <c r="F4" s="14"/>
      <c r="G4" s="5" t="s">
        <v>6</v>
      </c>
      <c r="H4" s="7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9" t="s">
        <v>16</v>
      </c>
      <c r="N4" s="10" t="s">
        <v>17</v>
      </c>
      <c r="O4" s="39"/>
      <c r="P4" s="39"/>
      <c r="Q4" s="39"/>
      <c r="R4" s="41"/>
      <c r="S4" s="39"/>
      <c r="T4" s="41"/>
      <c r="U4" s="37"/>
      <c r="V4" s="37"/>
      <c r="W4" s="18"/>
      <c r="X4" s="39"/>
      <c r="Y4" s="41"/>
      <c r="Z4" s="41"/>
      <c r="AA4" s="39"/>
    </row>
    <row r="5" spans="2:27" ht="21" customHeight="1" x14ac:dyDescent="0.25">
      <c r="B5" s="156">
        <v>1</v>
      </c>
      <c r="C5" s="130"/>
      <c r="D5" s="133">
        <v>44952</v>
      </c>
      <c r="E5" s="131" t="s">
        <v>83</v>
      </c>
      <c r="F5" s="132"/>
      <c r="G5" s="133"/>
      <c r="H5" s="134" t="s">
        <v>27</v>
      </c>
      <c r="I5" s="135">
        <v>2500</v>
      </c>
      <c r="J5" s="136">
        <v>0</v>
      </c>
      <c r="K5" s="57">
        <f>IF(N5="x",0,0.04*I5)</f>
        <v>100</v>
      </c>
      <c r="L5" s="136">
        <v>2</v>
      </c>
      <c r="M5" s="137">
        <f t="shared" ref="M5:M17" si="0">I5+K5+L5</f>
        <v>2602</v>
      </c>
      <c r="N5" s="62"/>
      <c r="O5" s="39"/>
      <c r="P5" s="39"/>
      <c r="Q5" s="41"/>
      <c r="R5" s="41"/>
      <c r="S5" s="39"/>
      <c r="T5" s="59"/>
      <c r="U5" s="53">
        <f>6595-2920</f>
        <v>3675</v>
      </c>
      <c r="V5" s="41"/>
      <c r="W5" s="80"/>
      <c r="X5" s="81"/>
      <c r="Y5" s="53"/>
      <c r="Z5" s="53"/>
      <c r="AA5" s="39"/>
    </row>
    <row r="6" spans="2:27" ht="21" customHeight="1" x14ac:dyDescent="0.25">
      <c r="B6" s="157">
        <v>2</v>
      </c>
      <c r="C6" s="31"/>
      <c r="D6" s="26">
        <v>44981</v>
      </c>
      <c r="E6" s="32" t="s">
        <v>72</v>
      </c>
      <c r="F6" s="55" t="e">
        <f>IF(#REF!="CASA",CONCATENATE("C:\Users\studi\Google Drive\CONTABILITA'\",D6,"\",E6," Trimestre\Fatture\",C6,".pdf"),CONCATENATE("C:\Users\Sebastiano\Google Drive\CONTABILITA'\",D6,"\",E6," Trimestre\Fatture\",C6,".pdf"))</f>
        <v>#REF!</v>
      </c>
      <c r="G6" s="26"/>
      <c r="H6" s="48" t="s">
        <v>27</v>
      </c>
      <c r="I6" s="24">
        <v>2500</v>
      </c>
      <c r="J6" s="57">
        <v>0</v>
      </c>
      <c r="K6" s="57">
        <f>IF(N6="x",0,0.04*I6)</f>
        <v>100</v>
      </c>
      <c r="L6" s="136">
        <v>2</v>
      </c>
      <c r="M6" s="58">
        <f t="shared" si="0"/>
        <v>2602</v>
      </c>
      <c r="N6" s="62"/>
      <c r="O6" s="39"/>
      <c r="P6" s="39"/>
      <c r="Q6" s="59"/>
      <c r="R6" s="59"/>
      <c r="S6" s="41"/>
      <c r="T6" s="80"/>
      <c r="U6" s="81"/>
      <c r="V6" s="53"/>
      <c r="W6" s="53"/>
      <c r="X6" s="39"/>
      <c r="Y6" s="1"/>
      <c r="Z6" s="1"/>
    </row>
    <row r="7" spans="2:27" ht="21" customHeight="1" x14ac:dyDescent="0.25">
      <c r="B7" s="157">
        <v>3</v>
      </c>
      <c r="C7" s="31"/>
      <c r="D7" s="26">
        <v>44989</v>
      </c>
      <c r="E7" s="32" t="s">
        <v>73</v>
      </c>
      <c r="F7" s="55" t="e">
        <f>IF(#REF!="CASA",CONCATENATE("C:\Users\studi\Google Drive\CONTABILITA'\2019\",E7," Trimestre\Fatture\",C7,".pdf"),CONCATENATE("C:\Users\Sebastiano\Google Drive\CONTABILITA'\2019\",E7," Trimestre\Fatture\",C7,".pdf"))</f>
        <v>#REF!</v>
      </c>
      <c r="G7" s="26"/>
      <c r="H7" s="48" t="s">
        <v>90</v>
      </c>
      <c r="I7" s="24">
        <v>900</v>
      </c>
      <c r="J7" s="57">
        <v>0</v>
      </c>
      <c r="K7" s="57">
        <f t="shared" ref="K7:K8" si="1">IF(N7="x",0,0.04*I7)</f>
        <v>36</v>
      </c>
      <c r="L7" s="136">
        <v>2</v>
      </c>
      <c r="M7" s="58">
        <f t="shared" si="0"/>
        <v>938</v>
      </c>
      <c r="N7" s="62"/>
      <c r="O7" s="39"/>
      <c r="P7" s="39"/>
      <c r="Q7" s="59"/>
      <c r="R7" s="59"/>
      <c r="S7" s="41"/>
      <c r="T7" s="80"/>
      <c r="U7" s="81"/>
      <c r="V7" s="53"/>
      <c r="W7" s="53"/>
      <c r="X7" s="39"/>
      <c r="Y7" s="1"/>
      <c r="Z7" s="1"/>
    </row>
    <row r="8" spans="2:27" ht="21" customHeight="1" x14ac:dyDescent="0.25">
      <c r="B8" s="157">
        <v>4</v>
      </c>
      <c r="C8" s="31"/>
      <c r="D8" s="26">
        <v>45009</v>
      </c>
      <c r="E8" s="32" t="s">
        <v>73</v>
      </c>
      <c r="F8" s="55" t="e">
        <f>IF(#REF!="CASA",CONCATENATE("C:\Users\studi\Google Drive\CONTABILITA'\2019\",E8," Trimestre\Fatture\",C8,".pdf"),CONCATENATE("C:\Users\Sebastiano\Google Drive\CONTABILITA'\2019\",E8," Trimestre\Fatture\",C8,".pdf"))</f>
        <v>#REF!</v>
      </c>
      <c r="G8" s="26"/>
      <c r="H8" s="48" t="s">
        <v>27</v>
      </c>
      <c r="I8" s="24">
        <v>2500</v>
      </c>
      <c r="J8" s="57">
        <v>0</v>
      </c>
      <c r="K8" s="57">
        <f t="shared" si="1"/>
        <v>100</v>
      </c>
      <c r="L8" s="136">
        <v>2</v>
      </c>
      <c r="M8" s="58">
        <f t="shared" si="0"/>
        <v>2602</v>
      </c>
      <c r="N8" s="62"/>
      <c r="O8" s="39"/>
      <c r="P8" s="39"/>
      <c r="Q8" s="59"/>
      <c r="R8" s="59"/>
      <c r="S8" s="41"/>
      <c r="T8" s="80"/>
      <c r="U8" s="81"/>
      <c r="V8" s="53"/>
      <c r="W8" s="53"/>
      <c r="X8" s="39"/>
      <c r="Y8" s="1"/>
      <c r="Z8" s="1"/>
    </row>
    <row r="9" spans="2:27" ht="21" customHeight="1" x14ac:dyDescent="0.25">
      <c r="B9" s="157">
        <v>5</v>
      </c>
      <c r="C9" s="31"/>
      <c r="D9" s="26">
        <v>45022</v>
      </c>
      <c r="E9" s="32" t="s">
        <v>74</v>
      </c>
      <c r="F9" s="55" t="e">
        <f>IF(#REF!="CASA",CONCATENATE("C:\Users\studi\Google Drive\CONTABILITA'\2020\",E9," Trimestre\Fatture\",C9,".pdf"),CONCATENATE("C:\Users\Sebastiano\Google Drive\CONTABILITA'\2020\",E9," Trimestre\Fatture\",C9,".pdf"))</f>
        <v>#REF!</v>
      </c>
      <c r="G9" s="26"/>
      <c r="H9" s="48" t="s">
        <v>27</v>
      </c>
      <c r="I9" s="24">
        <v>2500</v>
      </c>
      <c r="J9" s="57">
        <v>0</v>
      </c>
      <c r="K9" s="57">
        <f>IF(N9="x",0,0.04*(I9+L9))</f>
        <v>100.08</v>
      </c>
      <c r="L9" s="136">
        <v>2</v>
      </c>
      <c r="M9" s="58">
        <f t="shared" si="0"/>
        <v>2602.08</v>
      </c>
      <c r="N9" s="62"/>
      <c r="O9" s="39"/>
      <c r="P9" s="39"/>
      <c r="Q9" s="59"/>
      <c r="R9" s="59"/>
      <c r="S9" s="41"/>
      <c r="T9" s="80"/>
      <c r="U9" s="39"/>
      <c r="V9" s="82"/>
      <c r="W9" s="53"/>
      <c r="X9" s="39"/>
      <c r="Y9" s="1"/>
      <c r="Z9" s="1"/>
    </row>
    <row r="10" spans="2:27" ht="21" customHeight="1" x14ac:dyDescent="0.25">
      <c r="B10" s="157">
        <v>6</v>
      </c>
      <c r="C10" s="33"/>
      <c r="D10" s="26">
        <v>45046</v>
      </c>
      <c r="E10" s="32" t="s">
        <v>75</v>
      </c>
      <c r="F10" s="55" t="e">
        <f>IF(#REF!="CASA",CONCATENATE("C:\Users\studi\Google Drive\CONTABILITA'\2020\Fatture\",E10," Trimestre\",C10,".pdf"),CONCATENATE("C:\Users\Sebastiano\Google Drive\CONTABILITA'\2020\Fatture\",E10," Trimestre\",C10,".pdf"))</f>
        <v>#REF!</v>
      </c>
      <c r="G10" s="26"/>
      <c r="H10" s="48" t="s">
        <v>27</v>
      </c>
      <c r="I10" s="24">
        <v>2800</v>
      </c>
      <c r="J10" s="57">
        <v>0</v>
      </c>
      <c r="K10" s="57">
        <f t="shared" ref="K10" si="2">IF(N10="x",0,0.04*(I10+L10))</f>
        <v>112.08</v>
      </c>
      <c r="L10" s="136">
        <v>2</v>
      </c>
      <c r="M10" s="58">
        <f t="shared" si="0"/>
        <v>2914.08</v>
      </c>
      <c r="N10" s="62"/>
      <c r="O10" s="39"/>
      <c r="P10" s="39"/>
      <c r="Q10" s="59"/>
      <c r="R10" s="59"/>
      <c r="S10" s="41"/>
      <c r="T10" s="80"/>
      <c r="U10" s="39"/>
      <c r="V10" s="82"/>
      <c r="W10" s="53"/>
      <c r="X10" s="39"/>
      <c r="Y10" s="1"/>
      <c r="Z10" s="1"/>
    </row>
    <row r="11" spans="2:27" ht="21" customHeight="1" x14ac:dyDescent="0.25">
      <c r="B11" s="157">
        <v>7</v>
      </c>
      <c r="C11" s="33"/>
      <c r="D11" s="26">
        <v>45077</v>
      </c>
      <c r="E11" s="32" t="s">
        <v>76</v>
      </c>
      <c r="F11" s="55" t="e">
        <f>IF(#REF!="CASA",CONCATENATE("C:\Users\studi\Google Drive\CONTABILITA'\2020\Fatture\",E11," Trimestre\",C11,".pdf"),CONCATENATE("C:\Users\Sebastiano\Google Drive\CONTABILITA'\2020\Fatture\",E11," Trimestre\",C11,".pdf"))</f>
        <v>#REF!</v>
      </c>
      <c r="G11" s="26"/>
      <c r="H11" s="48" t="s">
        <v>27</v>
      </c>
      <c r="I11" s="24">
        <v>2650</v>
      </c>
      <c r="J11" s="57">
        <v>0</v>
      </c>
      <c r="K11" s="57">
        <v>0</v>
      </c>
      <c r="L11" s="57">
        <v>2</v>
      </c>
      <c r="M11" s="58">
        <f t="shared" si="0"/>
        <v>2652</v>
      </c>
      <c r="N11" s="62" t="s">
        <v>92</v>
      </c>
      <c r="O11" s="39"/>
      <c r="P11" s="39"/>
      <c r="Q11" s="59"/>
      <c r="R11" s="59"/>
      <c r="S11" s="41"/>
      <c r="T11" s="80"/>
      <c r="U11" s="39"/>
      <c r="V11" s="82"/>
      <c r="W11" s="53"/>
      <c r="X11" s="39"/>
      <c r="Y11" s="1"/>
      <c r="Z11" s="1"/>
    </row>
    <row r="12" spans="2:27" ht="21" customHeight="1" x14ac:dyDescent="0.25">
      <c r="B12" s="157">
        <v>8</v>
      </c>
      <c r="C12" s="33"/>
      <c r="D12" s="26">
        <v>45169</v>
      </c>
      <c r="E12" s="32" t="s">
        <v>77</v>
      </c>
      <c r="F12" s="55" t="e">
        <f>IF(#REF!="CASA",CONCATENATE("C:\Users\studi\Google Drive\CONTABILITA'\2020\Fatture\",E12," Trimestre\",C12,".pdf"),CONCATENATE("C:\Users\Sebastiano\Google Drive\CONTABILITA'\2020\Fatture\",E12," Trimestre\",C12,".pdf"))</f>
        <v>#REF!</v>
      </c>
      <c r="G12" s="26"/>
      <c r="H12" s="48" t="s">
        <v>27</v>
      </c>
      <c r="I12" s="24">
        <v>2650</v>
      </c>
      <c r="J12" s="57">
        <v>0</v>
      </c>
      <c r="K12" s="57">
        <v>0</v>
      </c>
      <c r="L12" s="57">
        <v>2</v>
      </c>
      <c r="M12" s="58">
        <f t="shared" si="0"/>
        <v>2652</v>
      </c>
      <c r="N12" s="62" t="s">
        <v>92</v>
      </c>
      <c r="O12" s="39"/>
      <c r="P12" s="39"/>
      <c r="Q12" s="59"/>
      <c r="R12" s="59"/>
      <c r="S12" s="41"/>
      <c r="T12" s="80"/>
      <c r="U12" s="39"/>
      <c r="V12" s="82"/>
      <c r="W12" s="53"/>
      <c r="X12" s="39"/>
      <c r="Y12" s="1"/>
      <c r="Z12" s="1"/>
    </row>
    <row r="13" spans="2:27" ht="21" customHeight="1" x14ac:dyDescent="0.25">
      <c r="B13" s="157">
        <v>9</v>
      </c>
      <c r="C13" s="33"/>
      <c r="D13" s="26">
        <v>45169</v>
      </c>
      <c r="E13" s="32" t="s">
        <v>78</v>
      </c>
      <c r="F13" s="55" t="e">
        <f>IF(#REF!="CASA",CONCATENATE("C:\Users\studi\Google Drive\CONTABILITA'\2020\Fatture\",E13," Trimestre\",C13,".pdf"),CONCATENATE("C:\Users\Sebastiano\Google Drive\CONTABILITA'\2020\Fatture\",E13," Trimestre\",C13,".pdf"))</f>
        <v>#REF!</v>
      </c>
      <c r="G13" s="26"/>
      <c r="H13" s="48" t="s">
        <v>27</v>
      </c>
      <c r="I13" s="24">
        <f>2650+(31-16+1)*25+469.95</f>
        <v>3519.95</v>
      </c>
      <c r="J13" s="57">
        <v>0</v>
      </c>
      <c r="K13" s="57">
        <v>0</v>
      </c>
      <c r="L13" s="57">
        <v>2</v>
      </c>
      <c r="M13" s="58">
        <f t="shared" si="0"/>
        <v>3521.95</v>
      </c>
      <c r="N13" s="62" t="s">
        <v>92</v>
      </c>
      <c r="O13" s="61">
        <f>M13-M12</f>
        <v>869.94999999999982</v>
      </c>
      <c r="P13" s="39"/>
      <c r="Q13" s="3" t="s">
        <v>31</v>
      </c>
      <c r="R13" s="18">
        <v>0.78</v>
      </c>
      <c r="S13" s="39"/>
      <c r="T13" s="59"/>
      <c r="U13" s="59"/>
      <c r="V13" s="41"/>
      <c r="W13" s="80"/>
      <c r="X13" s="39"/>
      <c r="Y13" s="82"/>
      <c r="Z13" s="53"/>
      <c r="AA13" s="39"/>
    </row>
    <row r="14" spans="2:27" ht="21" customHeight="1" x14ac:dyDescent="0.25">
      <c r="B14" s="157">
        <v>10</v>
      </c>
      <c r="C14" s="33"/>
      <c r="D14" s="26">
        <v>45169</v>
      </c>
      <c r="E14" s="32" t="s">
        <v>79</v>
      </c>
      <c r="F14" s="55" t="e">
        <f>IF(#REF!="CASA",CONCATENATE("C:\Users\studi\Google Drive\CONTABILITA'\2020\Fatture\",E14," Trimestre\",C14,".pdf"),CONCATENATE("C:\Users\Sebastiano\Google Drive\CONTABILITA'\2020\Fatture\",E14," Trimestre\",C14,".pdf"))</f>
        <v>#REF!</v>
      </c>
      <c r="G14" s="26"/>
      <c r="H14" s="48" t="s">
        <v>27</v>
      </c>
      <c r="I14" s="24">
        <f>2650+(5-1+1)*25+131.06</f>
        <v>2906.06</v>
      </c>
      <c r="J14" s="57">
        <v>0</v>
      </c>
      <c r="K14" s="57">
        <v>0</v>
      </c>
      <c r="L14" s="57">
        <v>2</v>
      </c>
      <c r="M14" s="58">
        <f t="shared" si="0"/>
        <v>2908.06</v>
      </c>
      <c r="N14" s="62" t="s">
        <v>92</v>
      </c>
      <c r="O14" s="39"/>
      <c r="P14" s="39"/>
      <c r="Q14" s="41"/>
      <c r="R14" s="18"/>
      <c r="S14" s="17"/>
      <c r="T14" s="59"/>
      <c r="U14" s="59"/>
      <c r="V14" s="41"/>
      <c r="W14" s="80"/>
      <c r="X14" s="39"/>
      <c r="Y14" s="82"/>
      <c r="Z14" s="53"/>
      <c r="AA14" s="39"/>
    </row>
    <row r="15" spans="2:27" ht="21" customHeight="1" x14ac:dyDescent="0.25">
      <c r="B15" s="157">
        <v>11</v>
      </c>
      <c r="C15" s="33"/>
      <c r="D15" s="26">
        <v>45199</v>
      </c>
      <c r="E15" s="32" t="s">
        <v>80</v>
      </c>
      <c r="F15" s="55" t="e">
        <f>IF(#REF!="CASA",CONCATENATE("C:\Users\studi\Google Drive\CONTABILITA'\2020\Fatture\",E15," Trimestre\",C15,".pdf"),CONCATENATE("C:\Users\Sebastiano\Google Drive\CONTABILITA'\2020\Fatture\",E15," Trimestre\",C15,".pdf"))</f>
        <v>#REF!</v>
      </c>
      <c r="G15" s="26"/>
      <c r="H15" s="48" t="s">
        <v>27</v>
      </c>
      <c r="I15" s="24">
        <v>2900</v>
      </c>
      <c r="J15" s="57">
        <v>0</v>
      </c>
      <c r="K15" s="57">
        <v>0</v>
      </c>
      <c r="L15" s="57">
        <v>2</v>
      </c>
      <c r="M15" s="58">
        <f t="shared" si="0"/>
        <v>2902</v>
      </c>
      <c r="N15" s="62" t="s">
        <v>92</v>
      </c>
      <c r="O15" s="39"/>
      <c r="P15" s="39"/>
      <c r="Q15" s="17" t="s">
        <v>32</v>
      </c>
      <c r="R15" s="62"/>
      <c r="S15" s="3"/>
      <c r="T15" s="59"/>
      <c r="U15" s="59"/>
      <c r="V15" s="41"/>
      <c r="W15" s="80"/>
      <c r="X15" s="39"/>
      <c r="Y15" s="82"/>
      <c r="Z15" s="53"/>
      <c r="AA15" s="39"/>
    </row>
    <row r="16" spans="2:27" ht="21" customHeight="1" x14ac:dyDescent="0.25">
      <c r="B16" s="157">
        <v>12</v>
      </c>
      <c r="C16" s="33"/>
      <c r="D16" s="26">
        <v>45230</v>
      </c>
      <c r="E16" s="32" t="s">
        <v>81</v>
      </c>
      <c r="F16" s="55" t="e">
        <f>IF(#REF!="CASA",CONCATENATE("C:\Users\studi\Google Drive\CONTABILITA'\2020\Fatture\",E16," Trimestre\",C16,".pdf"),CONCATENATE("C:\Users\Sebastiano\Google Drive\CONTABILITA'\2020\Fatture\",E16," Trimestre\",C16,".pdf"))</f>
        <v>#REF!</v>
      </c>
      <c r="G16" s="26"/>
      <c r="H16" s="48" t="s">
        <v>27</v>
      </c>
      <c r="I16" s="24">
        <v>2900</v>
      </c>
      <c r="J16" s="57">
        <v>0</v>
      </c>
      <c r="K16" s="57">
        <v>0</v>
      </c>
      <c r="L16" s="57">
        <v>2</v>
      </c>
      <c r="M16" s="58">
        <f t="shared" si="0"/>
        <v>2902</v>
      </c>
      <c r="N16" s="62" t="s">
        <v>92</v>
      </c>
      <c r="O16" s="39"/>
      <c r="P16" s="36" t="s">
        <v>33</v>
      </c>
      <c r="Q16" s="62">
        <f>I27</f>
        <v>34126.01</v>
      </c>
      <c r="R16" s="62"/>
      <c r="S16" s="36"/>
      <c r="T16" s="59"/>
      <c r="U16" s="41"/>
      <c r="V16" s="63"/>
      <c r="W16" s="63"/>
      <c r="X16" s="39"/>
      <c r="Y16" s="82"/>
      <c r="Z16" s="53"/>
      <c r="AA16" s="39"/>
    </row>
    <row r="17" spans="2:27" ht="21" customHeight="1" x14ac:dyDescent="0.25">
      <c r="B17" s="157">
        <v>13</v>
      </c>
      <c r="C17" s="33"/>
      <c r="D17" s="26">
        <v>45260</v>
      </c>
      <c r="E17" s="32" t="s">
        <v>82</v>
      </c>
      <c r="F17" s="55" t="e">
        <f>IF(#REF!="CASA",CONCATENATE("C:\Users\studi\Google Drive\CONTABILITA'\2020\Fatture\",E17," Trimestre\",C17,".pdf"),CONCATENATE("C:\Users\Sebastiano\Google Drive\CONTABILITA'\2020\Fatture\",E17," Trimestre\",C17,".pdf"))</f>
        <v>#REF!</v>
      </c>
      <c r="G17" s="26"/>
      <c r="H17" s="48" t="s">
        <v>27</v>
      </c>
      <c r="I17" s="24">
        <v>2900</v>
      </c>
      <c r="J17" s="57">
        <v>0</v>
      </c>
      <c r="K17" s="57">
        <v>0</v>
      </c>
      <c r="L17" s="57">
        <v>2</v>
      </c>
      <c r="M17" s="58">
        <f t="shared" si="0"/>
        <v>2902</v>
      </c>
      <c r="N17" s="62" t="s">
        <v>92</v>
      </c>
      <c r="O17" s="39"/>
      <c r="P17" s="39" t="s">
        <v>35</v>
      </c>
      <c r="Q17" s="62">
        <f>Q16+SUM(L5:L25)</f>
        <v>34152.01</v>
      </c>
      <c r="R17" s="62"/>
      <c r="S17" s="36"/>
      <c r="T17" s="59"/>
      <c r="U17" s="41"/>
      <c r="V17" s="63"/>
      <c r="W17" s="63"/>
      <c r="X17" s="39"/>
      <c r="Y17" s="41"/>
      <c r="Z17" s="53"/>
      <c r="AA17" s="39"/>
    </row>
    <row r="18" spans="2:27" ht="21" customHeight="1" x14ac:dyDescent="0.25">
      <c r="B18" s="160"/>
      <c r="C18" s="98"/>
      <c r="D18" s="88"/>
      <c r="E18" s="88"/>
      <c r="F18" s="89"/>
      <c r="G18" s="90"/>
      <c r="H18" s="94"/>
      <c r="I18" s="95"/>
      <c r="J18" s="96"/>
      <c r="K18" s="96"/>
      <c r="L18" s="96"/>
      <c r="M18" s="97"/>
      <c r="N18" s="62"/>
      <c r="O18" s="39"/>
      <c r="P18" s="36" t="s">
        <v>37</v>
      </c>
      <c r="Q18" s="62"/>
      <c r="R18" s="62" t="s">
        <v>95</v>
      </c>
      <c r="S18" s="36"/>
      <c r="T18" s="41"/>
      <c r="U18" s="41"/>
      <c r="V18" s="63"/>
      <c r="W18" s="63"/>
      <c r="X18" s="39"/>
      <c r="Y18" s="41"/>
      <c r="Z18" s="41"/>
      <c r="AA18" s="39"/>
    </row>
    <row r="19" spans="2:27" ht="21" customHeight="1" x14ac:dyDescent="0.25">
      <c r="B19" s="26"/>
      <c r="C19" s="31"/>
      <c r="D19" s="32"/>
      <c r="E19" s="32"/>
      <c r="F19" s="55"/>
      <c r="G19" s="26"/>
      <c r="H19" s="48"/>
      <c r="I19" s="24"/>
      <c r="J19" s="57"/>
      <c r="K19" s="57"/>
      <c r="L19" s="57"/>
      <c r="M19" s="58"/>
      <c r="N19" s="62"/>
      <c r="O19" s="39"/>
      <c r="P19" s="36" t="s">
        <v>38</v>
      </c>
      <c r="Q19" s="62">
        <f>0.78*Q17</f>
        <v>26638.567800000001</v>
      </c>
      <c r="R19" s="164">
        <v>31704</v>
      </c>
      <c r="S19" s="128" t="s">
        <v>64</v>
      </c>
      <c r="T19" s="128" t="s">
        <v>66</v>
      </c>
      <c r="U19" s="41"/>
      <c r="V19" s="63"/>
      <c r="W19" s="63"/>
      <c r="X19" s="39"/>
      <c r="Y19" s="41"/>
      <c r="Z19" s="41"/>
      <c r="AA19" s="39"/>
    </row>
    <row r="20" spans="2:27" ht="21" customHeight="1" x14ac:dyDescent="0.25">
      <c r="B20" s="26"/>
      <c r="C20" s="31"/>
      <c r="D20" s="32"/>
      <c r="E20" s="32"/>
      <c r="F20" s="55"/>
      <c r="G20" s="26"/>
      <c r="H20" s="48"/>
      <c r="I20" s="24"/>
      <c r="J20" s="57"/>
      <c r="K20" s="57"/>
      <c r="L20" s="60"/>
      <c r="M20" s="58"/>
      <c r="N20" s="62"/>
      <c r="O20" s="39"/>
      <c r="P20" s="36" t="s">
        <v>39</v>
      </c>
      <c r="Q20" s="4">
        <f>0.15*(Q19-Q26)</f>
        <v>3614.8667451750002</v>
      </c>
      <c r="R20" s="41" t="s">
        <v>96</v>
      </c>
      <c r="S20" s="53">
        <f>1559.5*2+589</f>
        <v>3708</v>
      </c>
      <c r="T20" s="129">
        <f>(Q20-S20)*0</f>
        <v>0</v>
      </c>
      <c r="U20" s="41"/>
      <c r="V20" s="63"/>
      <c r="W20" s="63"/>
      <c r="X20" s="39"/>
      <c r="Y20" s="41"/>
      <c r="Z20" s="41"/>
      <c r="AA20" s="39"/>
    </row>
    <row r="21" spans="2:27" ht="21" customHeight="1" x14ac:dyDescent="0.25">
      <c r="B21" s="26"/>
      <c r="C21" s="31"/>
      <c r="D21" s="32"/>
      <c r="E21" s="32"/>
      <c r="F21" s="55"/>
      <c r="G21" s="26"/>
      <c r="H21" s="48"/>
      <c r="I21" s="24"/>
      <c r="J21" s="60"/>
      <c r="K21" s="60"/>
      <c r="L21" s="60"/>
      <c r="M21" s="58"/>
      <c r="N21" s="62"/>
      <c r="O21" s="39"/>
      <c r="P21" s="65"/>
      <c r="Q21" s="18"/>
      <c r="R21" s="63">
        <f>(R19-Q19)/0.78</f>
        <v>6494.1438461538446</v>
      </c>
      <c r="S21" s="39"/>
      <c r="T21" s="41"/>
      <c r="U21" s="41"/>
      <c r="V21" s="41"/>
      <c r="W21" s="39"/>
      <c r="X21" s="39"/>
      <c r="Y21" s="41"/>
      <c r="Z21" s="41"/>
      <c r="AA21" s="39"/>
    </row>
    <row r="22" spans="2:27" ht="21" customHeight="1" x14ac:dyDescent="0.25">
      <c r="B22" s="26"/>
      <c r="C22" s="31"/>
      <c r="D22" s="32"/>
      <c r="E22" s="32"/>
      <c r="F22" s="55"/>
      <c r="G22" s="26"/>
      <c r="H22" s="48"/>
      <c r="I22" s="24"/>
      <c r="J22" s="60"/>
      <c r="K22" s="60"/>
      <c r="L22" s="60"/>
      <c r="M22" s="58"/>
      <c r="N22" s="62"/>
      <c r="O22" s="39"/>
      <c r="P22" s="3" t="s">
        <v>40</v>
      </c>
      <c r="Q22" s="39"/>
      <c r="R22" s="41" t="s">
        <v>97</v>
      </c>
      <c r="S22" s="128" t="s">
        <v>64</v>
      </c>
      <c r="T22" s="128" t="s">
        <v>66</v>
      </c>
      <c r="U22" s="41"/>
      <c r="V22" s="41"/>
      <c r="W22" s="39"/>
      <c r="X22" s="39"/>
      <c r="Y22" s="41"/>
      <c r="Z22" s="41"/>
      <c r="AA22" s="39"/>
    </row>
    <row r="23" spans="2:27" ht="21" customHeight="1" x14ac:dyDescent="0.25">
      <c r="B23" s="26"/>
      <c r="C23" s="31"/>
      <c r="D23" s="32"/>
      <c r="E23" s="32"/>
      <c r="F23" s="55"/>
      <c r="G23" s="26"/>
      <c r="H23" s="48"/>
      <c r="I23" s="24"/>
      <c r="J23" s="60"/>
      <c r="K23" s="60"/>
      <c r="L23" s="60"/>
      <c r="M23" s="58"/>
      <c r="N23" s="62"/>
      <c r="O23" s="39"/>
      <c r="P23" s="66" t="s">
        <v>41</v>
      </c>
      <c r="Q23" s="67">
        <f>MAX(780,0.0725*Q19)*IF(R23="Sì",1,2)</f>
        <v>1931.2961654999999</v>
      </c>
      <c r="R23" s="2" t="str">
        <f>IF(R21&gt;0,"Sì","No")</f>
        <v>Sì</v>
      </c>
      <c r="S23" s="53">
        <v>558.75</v>
      </c>
      <c r="T23" s="129">
        <f>Q23-S23</f>
        <v>1372.5461654999999</v>
      </c>
      <c r="U23" s="41"/>
      <c r="V23" s="41"/>
      <c r="W23" s="39"/>
      <c r="X23" s="39"/>
      <c r="Y23" s="41"/>
      <c r="Z23" s="41"/>
      <c r="AA23" s="39"/>
    </row>
    <row r="24" spans="2:27" ht="21" customHeight="1" x14ac:dyDescent="0.25">
      <c r="B24" s="26"/>
      <c r="C24" s="31"/>
      <c r="D24" s="32"/>
      <c r="E24" s="32"/>
      <c r="F24" s="55"/>
      <c r="G24" s="26"/>
      <c r="H24" s="48"/>
      <c r="I24" s="24"/>
      <c r="J24" s="60"/>
      <c r="K24" s="60"/>
      <c r="L24" s="60"/>
      <c r="M24" s="58"/>
      <c r="N24" s="62"/>
      <c r="O24" s="39"/>
      <c r="P24" s="36" t="s">
        <v>42</v>
      </c>
      <c r="Q24" s="62">
        <f>MAX(231.5,K26)</f>
        <v>548.16</v>
      </c>
      <c r="R24" s="62"/>
      <c r="S24" s="53">
        <v>574.75</v>
      </c>
      <c r="T24" s="129">
        <f>Q24-S24</f>
        <v>-26.590000000000032</v>
      </c>
      <c r="U24" s="41"/>
      <c r="V24" s="41"/>
      <c r="W24" s="39"/>
      <c r="X24" s="39"/>
      <c r="Y24" s="41"/>
      <c r="Z24" s="41"/>
      <c r="AA24" s="39"/>
    </row>
    <row r="25" spans="2:27" ht="21" customHeight="1" x14ac:dyDescent="0.25">
      <c r="B25" s="29"/>
      <c r="C25" s="34"/>
      <c r="D25" s="35"/>
      <c r="E25" s="35"/>
      <c r="F25" s="69"/>
      <c r="G25" s="29"/>
      <c r="H25" s="72"/>
      <c r="I25" s="25"/>
      <c r="J25" s="73"/>
      <c r="K25" s="73"/>
      <c r="L25" s="73"/>
      <c r="M25" s="74"/>
      <c r="N25" s="62"/>
      <c r="O25" s="39"/>
      <c r="P25" s="36" t="s">
        <v>43</v>
      </c>
      <c r="Q25" s="62">
        <v>60</v>
      </c>
      <c r="R25" s="4"/>
      <c r="S25" s="4">
        <v>1406.31</v>
      </c>
      <c r="T25" s="129">
        <f>Q25-S25</f>
        <v>-1346.31</v>
      </c>
      <c r="U25" s="41"/>
      <c r="V25" s="41"/>
      <c r="W25" s="39"/>
      <c r="X25" s="39"/>
      <c r="Y25" s="41"/>
      <c r="Z25" s="41"/>
      <c r="AA25" s="39"/>
    </row>
    <row r="26" spans="2:27" ht="24.95" customHeight="1" x14ac:dyDescent="0.25">
      <c r="B26" s="39"/>
      <c r="C26" s="41"/>
      <c r="D26" s="41"/>
      <c r="E26" s="41"/>
      <c r="F26" s="41"/>
      <c r="G26" s="39"/>
      <c r="H26" s="39" t="s">
        <v>44</v>
      </c>
      <c r="I26" s="75">
        <f>SUBTOTAL(9,I5:I25)</f>
        <v>34126.01</v>
      </c>
      <c r="J26" s="76"/>
      <c r="K26" s="75">
        <f>SUBTOTAL(9,K5:K25)</f>
        <v>548.16</v>
      </c>
      <c r="L26" s="12" t="s">
        <v>45</v>
      </c>
      <c r="M26" s="11">
        <f>SUBTOTAL(9,M5:M25)</f>
        <v>34700.17</v>
      </c>
      <c r="N26" s="4"/>
      <c r="O26" s="39"/>
      <c r="P26" s="39"/>
      <c r="Q26" s="4">
        <f>SUM(Q23:Q25)</f>
        <v>2539.4561654999998</v>
      </c>
      <c r="R26" s="41"/>
      <c r="S26" s="4">
        <f>SUM(S23:S25)</f>
        <v>2539.81</v>
      </c>
      <c r="T26" s="4">
        <f>SUM(T23:T25)*0</f>
        <v>0</v>
      </c>
      <c r="U26" s="41"/>
      <c r="V26" s="41"/>
      <c r="W26" s="39"/>
      <c r="X26" s="39"/>
      <c r="Y26" s="41"/>
      <c r="Z26" s="41"/>
      <c r="AA26" s="39"/>
    </row>
    <row r="27" spans="2:27" ht="24.95" customHeight="1" x14ac:dyDescent="0.25">
      <c r="B27" s="39"/>
      <c r="C27" s="41"/>
      <c r="D27" s="41"/>
      <c r="E27" s="41"/>
      <c r="F27" s="19"/>
      <c r="G27" s="39"/>
      <c r="H27" s="39" t="s">
        <v>46</v>
      </c>
      <c r="I27" s="77">
        <f>SUM(I5:I25)</f>
        <v>34126.01</v>
      </c>
      <c r="J27" s="61"/>
      <c r="K27" s="41"/>
      <c r="L27" s="39"/>
      <c r="M27" s="39"/>
      <c r="N27" s="39"/>
      <c r="O27" s="39"/>
      <c r="Q27" s="1"/>
      <c r="R27" s="1"/>
      <c r="T27" s="41"/>
      <c r="U27" s="41"/>
      <c r="V27" s="41"/>
      <c r="W27" s="39"/>
      <c r="X27" s="39"/>
      <c r="Y27" s="41"/>
      <c r="Z27" s="41"/>
      <c r="AA27" s="39"/>
    </row>
    <row r="28" spans="2:27" ht="24.95" customHeight="1" x14ac:dyDescent="0.25">
      <c r="B28" s="39"/>
      <c r="C28" s="41"/>
      <c r="D28" s="41"/>
      <c r="E28" s="41"/>
      <c r="F28" s="41"/>
      <c r="G28" s="39"/>
      <c r="H28" s="39"/>
      <c r="I28" s="78"/>
      <c r="J28" s="61"/>
      <c r="K28" s="41"/>
      <c r="L28" s="39"/>
      <c r="M28" s="39"/>
      <c r="N28" s="39"/>
      <c r="O28" s="39"/>
      <c r="P28" s="38"/>
      <c r="Q28" s="51">
        <f>(M26-Q29)/M26</f>
        <v>0.17735714005651848</v>
      </c>
      <c r="R28" s="51">
        <f>1-(I26-Q20-Q23-Q25)/I26</f>
        <v>0.16427830006130217</v>
      </c>
      <c r="S28" s="83"/>
      <c r="T28" s="53"/>
      <c r="U28" s="41"/>
      <c r="V28" s="41"/>
      <c r="W28" s="39"/>
      <c r="X28" s="39"/>
      <c r="Y28" s="41"/>
      <c r="Z28" s="41"/>
      <c r="AA28" s="39"/>
    </row>
    <row r="29" spans="2:27" ht="24.95" customHeight="1" x14ac:dyDescent="0.25">
      <c r="B29" s="39"/>
      <c r="C29" s="41"/>
      <c r="D29" s="41"/>
      <c r="E29" s="41"/>
      <c r="F29" s="41"/>
      <c r="G29" s="39"/>
      <c r="H29" s="39"/>
      <c r="I29" s="39"/>
      <c r="J29" s="39"/>
      <c r="K29" s="39"/>
      <c r="L29" s="41"/>
      <c r="M29" s="39"/>
      <c r="N29" s="39"/>
      <c r="O29" s="79"/>
      <c r="P29" s="46" t="s">
        <v>56</v>
      </c>
      <c r="Q29" s="47">
        <f>M26-Q20-Q26</f>
        <v>28545.847089324998</v>
      </c>
      <c r="R29" s="62"/>
      <c r="S29" s="39"/>
      <c r="T29" s="53"/>
      <c r="U29" s="41"/>
      <c r="V29" s="41"/>
      <c r="W29" s="39"/>
      <c r="X29" s="39"/>
      <c r="Y29" s="41"/>
      <c r="Z29" s="41"/>
      <c r="AA29" s="39"/>
    </row>
    <row r="30" spans="2:27" ht="24.95" customHeight="1" thickBot="1" x14ac:dyDescent="0.3">
      <c r="B30" s="39"/>
      <c r="C30" s="41"/>
      <c r="D30" s="41"/>
      <c r="E30" s="41"/>
      <c r="F30" s="41"/>
      <c r="G30" s="39"/>
      <c r="H30" s="39"/>
      <c r="I30" s="39"/>
      <c r="J30" s="39"/>
      <c r="K30" s="39"/>
      <c r="L30" s="41"/>
      <c r="M30" s="50"/>
      <c r="N30" s="50"/>
      <c r="O30" s="50"/>
      <c r="P30" s="39"/>
      <c r="Q30" s="41"/>
      <c r="R30" s="41"/>
      <c r="U30" s="41"/>
      <c r="V30" s="41"/>
      <c r="W30" s="39"/>
      <c r="X30" s="39"/>
      <c r="Y30" s="41"/>
      <c r="Z30" s="41"/>
      <c r="AA30" s="39"/>
    </row>
    <row r="31" spans="2:27" ht="24.95" customHeight="1" thickBot="1" x14ac:dyDescent="0.3">
      <c r="B31" s="39"/>
      <c r="C31" s="41"/>
      <c r="D31" s="41"/>
      <c r="E31" s="41"/>
      <c r="F31" s="41"/>
      <c r="G31" s="39"/>
      <c r="H31" s="39"/>
      <c r="I31" s="39"/>
      <c r="J31" s="39"/>
      <c r="K31" s="39"/>
      <c r="L31" s="41"/>
      <c r="M31" s="39"/>
      <c r="N31" s="39"/>
      <c r="O31" s="39"/>
      <c r="P31" s="46" t="s">
        <v>57</v>
      </c>
      <c r="Q31" s="47">
        <f>Q29/12</f>
        <v>2378.820590777083</v>
      </c>
      <c r="R31" s="41"/>
      <c r="S31" s="166" t="s">
        <v>71</v>
      </c>
      <c r="T31" s="165">
        <f>T26+T20</f>
        <v>0</v>
      </c>
      <c r="U31" s="41"/>
      <c r="V31" s="41"/>
      <c r="W31" s="39"/>
      <c r="X31" s="39"/>
      <c r="Y31" s="41"/>
      <c r="Z31" s="41"/>
      <c r="AA31" s="39"/>
    </row>
    <row r="32" spans="2:27" ht="24.95" customHeight="1" x14ac:dyDescent="0.25">
      <c r="B32" s="39"/>
      <c r="C32" s="41"/>
      <c r="D32" s="41"/>
      <c r="E32" s="41"/>
      <c r="F32" s="41"/>
      <c r="G32" s="39"/>
      <c r="H32" s="39"/>
      <c r="I32" s="39"/>
      <c r="J32" s="39"/>
      <c r="K32" s="39"/>
      <c r="L32" s="41"/>
      <c r="M32" s="39"/>
      <c r="N32" s="39"/>
      <c r="O32" s="39"/>
      <c r="P32" s="46" t="s">
        <v>94</v>
      </c>
      <c r="Q32" s="47">
        <f>Q31/13*12</f>
        <v>2195.8343914865382</v>
      </c>
      <c r="R32" s="41"/>
      <c r="S32" s="39"/>
      <c r="T32" s="41"/>
      <c r="U32" s="41"/>
      <c r="V32" s="41"/>
      <c r="W32" s="39"/>
      <c r="X32" s="39"/>
      <c r="Y32" s="41"/>
      <c r="Z32" s="41"/>
      <c r="AA32" s="39"/>
    </row>
    <row r="33" spans="2:27" ht="24.95" customHeight="1" x14ac:dyDescent="0.25">
      <c r="B33" s="39"/>
      <c r="C33" s="41"/>
      <c r="D33" s="41"/>
      <c r="E33" s="41"/>
      <c r="F33" s="41"/>
      <c r="G33" s="39" t="s">
        <v>110</v>
      </c>
      <c r="H33" s="176">
        <f>H34*0.78*0+26639</f>
        <v>26639</v>
      </c>
      <c r="I33" s="39" t="s">
        <v>117</v>
      </c>
      <c r="J33" s="39"/>
      <c r="K33" s="39"/>
      <c r="L33" s="41"/>
      <c r="M33" s="39"/>
      <c r="N33" s="39"/>
      <c r="O33" s="39"/>
      <c r="P33" s="39"/>
      <c r="Q33" s="39"/>
      <c r="R33" s="1"/>
      <c r="T33" s="41"/>
      <c r="U33" s="41"/>
      <c r="V33" s="41"/>
      <c r="W33" s="39"/>
      <c r="X33" s="39"/>
      <c r="Y33" s="41"/>
      <c r="Z33" s="41"/>
      <c r="AA33" s="39"/>
    </row>
    <row r="34" spans="2:27" ht="24.95" customHeight="1" x14ac:dyDescent="0.25">
      <c r="G34" s="39" t="s">
        <v>111</v>
      </c>
      <c r="H34" s="176">
        <f>(SUM(I5:I29)+SUM(L5:L29))*0+34152</f>
        <v>34152</v>
      </c>
      <c r="I34" s="39" t="s">
        <v>116</v>
      </c>
      <c r="J34" s="39"/>
    </row>
    <row r="35" spans="2:27" ht="24.95" customHeight="1" x14ac:dyDescent="0.25">
      <c r="G35" s="39" t="s">
        <v>112</v>
      </c>
      <c r="H35" s="173">
        <f>SUMIFS(I5:I25,N5:N25,I35)+SUMIFS(L5:L25,N5:N25,I35)</f>
        <v>13712</v>
      </c>
      <c r="I35" s="39" t="str">
        <f>""</f>
        <v/>
      </c>
      <c r="J35" s="39"/>
    </row>
    <row r="36" spans="2:27" ht="24.95" customHeight="1" x14ac:dyDescent="0.25">
      <c r="G36" s="39" t="s">
        <v>113</v>
      </c>
      <c r="H36" s="173">
        <f>SUMIFS(I5:I25,N5:N25,I36)+SUMIFS(L5:L25,N5:N25,I36)</f>
        <v>20440.010000000002</v>
      </c>
      <c r="I36" s="39" t="s">
        <v>92</v>
      </c>
      <c r="J36" s="177" t="s">
        <v>118</v>
      </c>
      <c r="K36" s="179"/>
    </row>
    <row r="37" spans="2:27" ht="24.95" customHeight="1" x14ac:dyDescent="0.25">
      <c r="G37" s="39" t="s">
        <v>114</v>
      </c>
      <c r="H37" s="174">
        <f>H35</f>
        <v>13712</v>
      </c>
      <c r="I37" s="39"/>
      <c r="J37" s="178">
        <f>H34-H35-H36</f>
        <v>-1.0000000002037268E-2</v>
      </c>
      <c r="K37" s="52" t="s">
        <v>119</v>
      </c>
    </row>
    <row r="38" spans="2:27" ht="24.95" customHeight="1" x14ac:dyDescent="0.25">
      <c r="G38" s="39" t="s">
        <v>115</v>
      </c>
      <c r="H38" s="175">
        <f>K26</f>
        <v>548.16</v>
      </c>
    </row>
  </sheetData>
  <mergeCells count="3">
    <mergeCell ref="C1:M1"/>
    <mergeCell ref="C2:M2"/>
    <mergeCell ref="C4:D4"/>
  </mergeCells>
  <phoneticPr fontId="12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/>
  <dimension ref="A1:AC37"/>
  <sheetViews>
    <sheetView showGridLines="0" topLeftCell="A4" zoomScale="85" zoomScaleNormal="85" workbookViewId="0">
      <selection activeCell="M19" sqref="M19"/>
    </sheetView>
  </sheetViews>
  <sheetFormatPr defaultColWidth="9.140625" defaultRowHeight="24.95" customHeight="1" x14ac:dyDescent="0.25"/>
  <cols>
    <col min="1" max="1" width="9.140625" style="1" customWidth="1"/>
    <col min="2" max="2" width="8.140625" style="2" customWidth="1"/>
    <col min="3" max="3" width="7.140625" style="2" customWidth="1"/>
    <col min="4" max="4" width="7.5703125" style="2" customWidth="1"/>
    <col min="5" max="5" width="61.7109375" style="2" hidden="1" customWidth="1"/>
    <col min="6" max="7" width="11.28515625" style="1" customWidth="1"/>
    <col min="8" max="8" width="14" style="1" customWidth="1"/>
    <col min="9" max="9" width="10.140625" style="1" customWidth="1"/>
    <col min="10" max="10" width="9.5703125" style="1" customWidth="1"/>
    <col min="11" max="11" width="25.28515625" style="1" customWidth="1"/>
    <col min="12" max="12" width="14.28515625" style="1" customWidth="1"/>
    <col min="13" max="13" width="12.28515625" style="1" customWidth="1"/>
    <col min="14" max="14" width="10.7109375" style="1" customWidth="1"/>
    <col min="15" max="15" width="11.28515625" style="2" customWidth="1"/>
    <col min="16" max="16" width="10.140625" style="1" customWidth="1"/>
    <col min="17" max="17" width="7.5703125" style="1" customWidth="1"/>
    <col min="18" max="18" width="25" style="1" customWidth="1"/>
    <col min="19" max="19" width="18" style="2" customWidth="1"/>
    <col min="20" max="20" width="15.140625" style="2" customWidth="1"/>
    <col min="21" max="21" width="17.7109375" style="1" customWidth="1"/>
    <col min="22" max="22" width="12.28515625" style="2" hidden="1" customWidth="1"/>
    <col min="23" max="23" width="24.140625" style="2" hidden="1" customWidth="1"/>
    <col min="24" max="24" width="17.140625" style="2" hidden="1" customWidth="1"/>
    <col min="25" max="25" width="9.42578125" style="1" customWidth="1"/>
    <col min="26" max="26" width="13.7109375" style="1" customWidth="1"/>
    <col min="27" max="27" width="12.85546875" style="2" customWidth="1"/>
    <col min="28" max="28" width="11.42578125" style="2" customWidth="1"/>
    <col min="29" max="16384" width="9.140625" style="1"/>
  </cols>
  <sheetData>
    <row r="1" spans="1:29" ht="28.5" customHeight="1" x14ac:dyDescent="0.25">
      <c r="A1" s="39"/>
      <c r="B1" s="229" t="s">
        <v>0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39"/>
      <c r="R1" s="39"/>
      <c r="S1" s="41"/>
      <c r="T1" s="41"/>
      <c r="U1" s="39"/>
      <c r="V1" s="41"/>
      <c r="W1" s="41"/>
      <c r="X1" s="41"/>
      <c r="Y1" s="39"/>
      <c r="Z1" s="39"/>
      <c r="AA1" s="41"/>
      <c r="AB1" s="41"/>
      <c r="AC1" s="39"/>
    </row>
    <row r="2" spans="1:29" ht="13.5" customHeight="1" x14ac:dyDescent="0.25">
      <c r="A2" s="39"/>
      <c r="B2" s="230" t="s">
        <v>1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 t="s">
        <v>2</v>
      </c>
      <c r="N2" s="230"/>
      <c r="O2" s="230"/>
      <c r="P2" s="230"/>
      <c r="Q2" s="39"/>
      <c r="R2" s="39"/>
      <c r="S2" s="41" t="s">
        <v>58</v>
      </c>
      <c r="T2" s="41">
        <v>6</v>
      </c>
      <c r="U2" s="39"/>
      <c r="V2" s="41"/>
      <c r="W2" s="41"/>
      <c r="X2" s="41"/>
      <c r="Y2" s="39"/>
      <c r="Z2" s="39"/>
      <c r="AA2" s="41"/>
      <c r="AB2" s="41"/>
      <c r="AC2" s="39"/>
    </row>
    <row r="3" spans="1:29" ht="24.95" customHeight="1" x14ac:dyDescent="0.25">
      <c r="A3" s="39"/>
      <c r="B3" s="41"/>
      <c r="C3" s="41"/>
      <c r="D3" s="13"/>
      <c r="E3" s="13"/>
      <c r="F3" s="39"/>
      <c r="G3" s="39"/>
      <c r="H3" s="39"/>
      <c r="I3" s="39"/>
      <c r="J3" s="54"/>
      <c r="K3" s="54"/>
      <c r="L3" s="39"/>
      <c r="M3" s="39"/>
      <c r="N3" s="39"/>
      <c r="O3" s="41"/>
      <c r="P3" s="39"/>
      <c r="Q3" s="39"/>
      <c r="R3" s="39"/>
      <c r="S3" s="41" t="s">
        <v>18</v>
      </c>
      <c r="T3" s="41">
        <v>20</v>
      </c>
      <c r="U3" s="39"/>
      <c r="V3" s="41"/>
      <c r="W3" s="41"/>
      <c r="X3" s="41"/>
      <c r="Y3" s="39"/>
      <c r="Z3" s="52" t="s">
        <v>22</v>
      </c>
      <c r="AA3" s="41"/>
      <c r="AB3" s="41"/>
      <c r="AC3" s="39"/>
    </row>
    <row r="4" spans="1:29" ht="47.45" customHeight="1" x14ac:dyDescent="0.2">
      <c r="A4" s="39"/>
      <c r="B4" s="10" t="s">
        <v>3</v>
      </c>
      <c r="C4" s="14" t="s">
        <v>4</v>
      </c>
      <c r="D4" s="14" t="s">
        <v>5</v>
      </c>
      <c r="E4" s="14"/>
      <c r="F4" s="5" t="s">
        <v>6</v>
      </c>
      <c r="G4" s="15" t="s">
        <v>7</v>
      </c>
      <c r="H4" s="16" t="s">
        <v>8</v>
      </c>
      <c r="I4" s="15" t="s">
        <v>9</v>
      </c>
      <c r="J4" s="6" t="s">
        <v>10</v>
      </c>
      <c r="K4" s="7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9" t="s">
        <v>16</v>
      </c>
      <c r="Q4" s="39"/>
      <c r="R4" s="39"/>
      <c r="S4" s="39"/>
      <c r="T4" s="41"/>
      <c r="U4" s="39"/>
      <c r="V4" s="41"/>
      <c r="W4" s="37"/>
      <c r="X4" s="37"/>
      <c r="Y4" s="18" t="s">
        <v>18</v>
      </c>
      <c r="Z4" s="39" t="s">
        <v>19</v>
      </c>
      <c r="AA4" s="41" t="s">
        <v>20</v>
      </c>
      <c r="AB4" s="41" t="s">
        <v>21</v>
      </c>
      <c r="AC4" s="39"/>
    </row>
    <row r="5" spans="1:29" ht="21" customHeight="1" x14ac:dyDescent="0.25">
      <c r="A5" s="39">
        <v>1</v>
      </c>
      <c r="B5" s="31"/>
      <c r="C5" s="32"/>
      <c r="D5" s="32"/>
      <c r="E5" s="55" t="e">
        <f>IF(#REF!="CASA",CONCATENATE("C:\Users\studi\Google Drive\CONTABILITA'\",C5,"\",D5," Trimestre\Fatture\",B5,".pdf"),CONCATENATE("C:\Users\Sebastiano\Google Drive\CONTABILITA'\",C5,"\",D5," Trimestre\Fatture\",B5,".pdf"))</f>
        <v>#REF!</v>
      </c>
      <c r="F5" s="26">
        <v>44227</v>
      </c>
      <c r="G5" s="27">
        <v>5</v>
      </c>
      <c r="H5" s="56">
        <f>EOMONTH(F5,0)+G5</f>
        <v>44232</v>
      </c>
      <c r="I5" s="20"/>
      <c r="J5" s="45" t="s">
        <v>22</v>
      </c>
      <c r="K5" s="48" t="s">
        <v>98</v>
      </c>
      <c r="L5" s="24">
        <f>IF($T$7&gt;=A5,IF(AA5="",AB5,AA5),0)+Z5</f>
        <v>2260</v>
      </c>
      <c r="M5" s="57">
        <v>0</v>
      </c>
      <c r="N5" s="57">
        <f t="shared" ref="N5:N16" si="0">0.04*L5</f>
        <v>90.4</v>
      </c>
      <c r="O5" s="57">
        <v>0</v>
      </c>
      <c r="P5" s="58">
        <f t="shared" ref="P5:P13" si="1">L5+N5+O5</f>
        <v>2350.4</v>
      </c>
      <c r="Q5" s="39"/>
      <c r="R5" s="39"/>
      <c r="S5" s="41"/>
      <c r="T5" s="41"/>
      <c r="U5" s="39"/>
      <c r="V5" s="59">
        <v>44197</v>
      </c>
      <c r="W5" s="59">
        <f>V6-1</f>
        <v>44227</v>
      </c>
      <c r="X5" s="41">
        <f>NETWORKDAYS(V5,W5)</f>
        <v>21</v>
      </c>
      <c r="Y5" s="80">
        <f>($T$3+$T$2)/$T$7</f>
        <v>2.1666666666666665</v>
      </c>
      <c r="Z5" s="81">
        <f>IF(Z3="",3737,0)</f>
        <v>0</v>
      </c>
      <c r="AA5" s="53" t="str">
        <f>IF(Z3="",1850,"")</f>
        <v/>
      </c>
      <c r="AB5" s="53">
        <f>IF(AC5="x",(X5-Y5)*120,(X5-Y5)*$S$9*$S$8)</f>
        <v>2260</v>
      </c>
      <c r="AC5" s="39" t="s">
        <v>22</v>
      </c>
    </row>
    <row r="6" spans="1:29" ht="21" customHeight="1" x14ac:dyDescent="0.25">
      <c r="A6" s="39">
        <v>2</v>
      </c>
      <c r="B6" s="31"/>
      <c r="C6" s="32"/>
      <c r="D6" s="32"/>
      <c r="E6" s="55" t="e">
        <f>IF(#REF!="CASA",CONCATENATE("C:\Users\studi\Google Drive\CONTABILITA'\2019\",D6," Trimestre\Fatture\",B6,".pdf"),CONCATENATE("C:\Users\Sebastiano\Google Drive\CONTABILITA'\2019\",D6," Trimestre\Fatture\",B6,".pdf"))</f>
        <v>#REF!</v>
      </c>
      <c r="F6" s="26">
        <v>44255</v>
      </c>
      <c r="G6" s="27">
        <v>5</v>
      </c>
      <c r="H6" s="56">
        <f t="shared" ref="H6:H16" si="2">EOMONTH(F6,0)+G6</f>
        <v>44260</v>
      </c>
      <c r="I6" s="20"/>
      <c r="J6" s="45" t="s">
        <v>22</v>
      </c>
      <c r="K6" s="48" t="s">
        <v>98</v>
      </c>
      <c r="L6" s="24">
        <f>IF($T$7&gt;=A6,IF(AA6="",AB6,AA6),0)+Z6</f>
        <v>2140</v>
      </c>
      <c r="M6" s="57">
        <v>0</v>
      </c>
      <c r="N6" s="57">
        <f t="shared" si="0"/>
        <v>85.600000000000009</v>
      </c>
      <c r="O6" s="57">
        <v>0</v>
      </c>
      <c r="P6" s="58">
        <f t="shared" si="1"/>
        <v>2225.6</v>
      </c>
      <c r="Q6" s="39"/>
      <c r="R6" s="62"/>
      <c r="S6" s="41" t="s">
        <v>24</v>
      </c>
      <c r="T6" s="41" t="s">
        <v>25</v>
      </c>
      <c r="U6" s="39"/>
      <c r="V6" s="59">
        <v>44228</v>
      </c>
      <c r="W6" s="59">
        <f t="shared" ref="W6:W16" si="3">V7-1</f>
        <v>44255</v>
      </c>
      <c r="X6" s="41">
        <f>NETWORKDAYS(V6,W6)</f>
        <v>20</v>
      </c>
      <c r="Y6" s="80">
        <f t="shared" ref="Y6:Y16" si="4">($T$3+$T$2)/$T$7</f>
        <v>2.1666666666666665</v>
      </c>
      <c r="Z6" s="81">
        <f>IF(Z3="",3500,0)</f>
        <v>0</v>
      </c>
      <c r="AA6" s="53" t="str">
        <f>IF(Z3="",1760,"")</f>
        <v/>
      </c>
      <c r="AB6" s="53">
        <f t="shared" ref="AB6:AB16" si="5">IF(AC6="x",(X6-Y6)*120,(X6-Y6)*$S$9*$S$8)</f>
        <v>2140</v>
      </c>
      <c r="AC6" s="39" t="s">
        <v>22</v>
      </c>
    </row>
    <row r="7" spans="1:29" ht="21" customHeight="1" x14ac:dyDescent="0.25">
      <c r="A7" s="39">
        <v>3</v>
      </c>
      <c r="B7" s="31"/>
      <c r="C7" s="32"/>
      <c r="D7" s="32"/>
      <c r="E7" s="55" t="e">
        <f>IF(#REF!="CASA",CONCATENATE("C:\Users\studi\Google Drive\CONTABILITA'\2019\",D7," Trimestre\Fatture\",B7,".pdf"),CONCATENATE("C:\Users\Sebastiano\Google Drive\CONTABILITA'\2019\",D7," Trimestre\Fatture\",B7,".pdf"))</f>
        <v>#REF!</v>
      </c>
      <c r="F7" s="26">
        <v>44286</v>
      </c>
      <c r="G7" s="27">
        <v>5</v>
      </c>
      <c r="H7" s="56">
        <f t="shared" si="2"/>
        <v>44291</v>
      </c>
      <c r="I7" s="20"/>
      <c r="J7" s="45" t="s">
        <v>22</v>
      </c>
      <c r="K7" s="48" t="s">
        <v>98</v>
      </c>
      <c r="L7" s="24">
        <f>IF($T$7&gt;=A7,IF(AA7="",AB7,AA7),0)+Z7</f>
        <v>2500</v>
      </c>
      <c r="M7" s="57">
        <v>0</v>
      </c>
      <c r="N7" s="57">
        <f t="shared" si="0"/>
        <v>100</v>
      </c>
      <c r="O7" s="57">
        <v>0</v>
      </c>
      <c r="P7" s="58">
        <f t="shared" si="1"/>
        <v>2600</v>
      </c>
      <c r="Q7" s="39"/>
      <c r="R7" s="42" t="s">
        <v>26</v>
      </c>
      <c r="S7" s="41">
        <v>0</v>
      </c>
      <c r="T7" s="41">
        <v>12</v>
      </c>
      <c r="U7" s="39"/>
      <c r="V7" s="59">
        <v>44256</v>
      </c>
      <c r="W7" s="59">
        <f t="shared" si="3"/>
        <v>44286</v>
      </c>
      <c r="X7" s="41">
        <f t="shared" ref="X7:X16" si="6">NETWORKDAYS(V7,W7)</f>
        <v>23</v>
      </c>
      <c r="Y7" s="80">
        <f t="shared" si="4"/>
        <v>2.1666666666666665</v>
      </c>
      <c r="Z7" s="39"/>
      <c r="AA7" s="41"/>
      <c r="AB7" s="53">
        <f t="shared" si="5"/>
        <v>2500</v>
      </c>
      <c r="AC7" s="39" t="s">
        <v>22</v>
      </c>
    </row>
    <row r="8" spans="1:29" ht="21" customHeight="1" x14ac:dyDescent="0.25">
      <c r="A8" s="39">
        <v>4</v>
      </c>
      <c r="B8" s="31"/>
      <c r="C8" s="32"/>
      <c r="D8" s="32"/>
      <c r="E8" s="55" t="e">
        <f>IF(#REF!="CASA",CONCATENATE("C:\Users\studi\Google Drive\CONTABILITA'\2020\",D8," Trimestre\Fatture\",B8,".pdf"),CONCATENATE("C:\Users\Sebastiano\Google Drive\CONTABILITA'\2020\",D8," Trimestre\Fatture\",B8,".pdf"))</f>
        <v>#REF!</v>
      </c>
      <c r="F8" s="26">
        <v>44316</v>
      </c>
      <c r="G8" s="27">
        <v>5</v>
      </c>
      <c r="H8" s="56">
        <f t="shared" si="2"/>
        <v>44321</v>
      </c>
      <c r="I8" s="21"/>
      <c r="J8" s="45" t="s">
        <v>22</v>
      </c>
      <c r="K8" s="48" t="s">
        <v>98</v>
      </c>
      <c r="L8" s="24">
        <f t="shared" ref="L8:L16" si="7">IF($T$7&gt;=A8,IF(AA8="",AB8,AA8),0)+Z8</f>
        <v>2380</v>
      </c>
      <c r="M8" s="57">
        <v>0</v>
      </c>
      <c r="N8" s="57">
        <f t="shared" si="0"/>
        <v>95.2</v>
      </c>
      <c r="O8" s="57">
        <v>0</v>
      </c>
      <c r="P8" s="58">
        <f t="shared" si="1"/>
        <v>2475.1999999999998</v>
      </c>
      <c r="Q8" s="39"/>
      <c r="R8" s="39"/>
      <c r="S8" s="40">
        <v>10</v>
      </c>
      <c r="T8" s="41"/>
      <c r="U8" s="39"/>
      <c r="V8" s="59">
        <v>44287</v>
      </c>
      <c r="W8" s="59">
        <f t="shared" si="3"/>
        <v>44316</v>
      </c>
      <c r="X8" s="41">
        <f t="shared" si="6"/>
        <v>22</v>
      </c>
      <c r="Y8" s="80">
        <f t="shared" si="4"/>
        <v>2.1666666666666665</v>
      </c>
      <c r="Z8" s="39"/>
      <c r="AA8" s="41"/>
      <c r="AB8" s="53">
        <f t="shared" si="5"/>
        <v>2380</v>
      </c>
      <c r="AC8" s="39" t="s">
        <v>22</v>
      </c>
    </row>
    <row r="9" spans="1:29" ht="21" customHeight="1" x14ac:dyDescent="0.25">
      <c r="A9" s="39">
        <v>5</v>
      </c>
      <c r="B9" s="33"/>
      <c r="C9" s="32"/>
      <c r="D9" s="32"/>
      <c r="E9" s="55" t="e">
        <f>IF(#REF!="CASA",CONCATENATE("C:\Users\studi\Google Drive\CONTABILITA'\2020\Fatture\",D9," Trimestre\",B9,".pdf"),CONCATENATE("C:\Users\Sebastiano\Google Drive\CONTABILITA'\2020\Fatture\",D9," Trimestre\",B9,".pdf"))</f>
        <v>#REF!</v>
      </c>
      <c r="F9" s="26">
        <v>44347</v>
      </c>
      <c r="G9" s="27">
        <v>5</v>
      </c>
      <c r="H9" s="56">
        <f t="shared" si="2"/>
        <v>44352</v>
      </c>
      <c r="I9" s="21"/>
      <c r="J9" s="45" t="s">
        <v>22</v>
      </c>
      <c r="K9" s="48" t="s">
        <v>98</v>
      </c>
      <c r="L9" s="24">
        <f t="shared" si="7"/>
        <v>2260</v>
      </c>
      <c r="M9" s="57">
        <v>0</v>
      </c>
      <c r="N9" s="60">
        <f t="shared" si="0"/>
        <v>90.4</v>
      </c>
      <c r="O9" s="57">
        <v>0</v>
      </c>
      <c r="P9" s="58">
        <f t="shared" si="1"/>
        <v>2350.4</v>
      </c>
      <c r="Q9" s="39"/>
      <c r="R9" s="41" t="s">
        <v>28</v>
      </c>
      <c r="S9" s="42">
        <v>9</v>
      </c>
      <c r="T9" s="41"/>
      <c r="U9" s="39"/>
      <c r="V9" s="59">
        <v>44317</v>
      </c>
      <c r="W9" s="59">
        <f t="shared" si="3"/>
        <v>44347</v>
      </c>
      <c r="X9" s="41">
        <f t="shared" si="6"/>
        <v>21</v>
      </c>
      <c r="Y9" s="80">
        <f t="shared" si="4"/>
        <v>2.1666666666666665</v>
      </c>
      <c r="Z9" s="39"/>
      <c r="AA9" s="41"/>
      <c r="AB9" s="53">
        <f t="shared" si="5"/>
        <v>2260</v>
      </c>
      <c r="AC9" s="39" t="s">
        <v>22</v>
      </c>
    </row>
    <row r="10" spans="1:29" ht="21" customHeight="1" x14ac:dyDescent="0.25">
      <c r="A10" s="39">
        <v>6</v>
      </c>
      <c r="B10" s="33"/>
      <c r="C10" s="32"/>
      <c r="D10" s="32"/>
      <c r="E10" s="55" t="e">
        <f>IF(#REF!="CASA",CONCATENATE("C:\Users\studi\Google Drive\CONTABILITA'\2020\Fatture\",D10," Trimestre\",B10,".pdf"),CONCATENATE("C:\Users\Sebastiano\Google Drive\CONTABILITA'\2020\Fatture\",D10," Trimestre\",B10,".pdf"))</f>
        <v>#REF!</v>
      </c>
      <c r="F10" s="26">
        <v>44377</v>
      </c>
      <c r="G10" s="27">
        <v>5</v>
      </c>
      <c r="H10" s="56">
        <f t="shared" si="2"/>
        <v>44382</v>
      </c>
      <c r="I10" s="21"/>
      <c r="J10" s="45" t="s">
        <v>22</v>
      </c>
      <c r="K10" s="48" t="s">
        <v>98</v>
      </c>
      <c r="L10" s="24">
        <f t="shared" si="7"/>
        <v>2380</v>
      </c>
      <c r="M10" s="57">
        <v>0</v>
      </c>
      <c r="N10" s="60">
        <f t="shared" si="0"/>
        <v>95.2</v>
      </c>
      <c r="O10" s="57">
        <v>0</v>
      </c>
      <c r="P10" s="58">
        <f t="shared" si="1"/>
        <v>2475.1999999999998</v>
      </c>
      <c r="Q10" s="39"/>
      <c r="R10" s="41" t="s">
        <v>29</v>
      </c>
      <c r="S10" s="42">
        <v>21.5</v>
      </c>
      <c r="T10" s="41">
        <f>S10*S9</f>
        <v>193.5</v>
      </c>
      <c r="U10" s="39"/>
      <c r="V10" s="59">
        <v>44348</v>
      </c>
      <c r="W10" s="59">
        <f t="shared" si="3"/>
        <v>44377</v>
      </c>
      <c r="X10" s="41">
        <f t="shared" si="6"/>
        <v>22</v>
      </c>
      <c r="Y10" s="80">
        <f t="shared" si="4"/>
        <v>2.1666666666666665</v>
      </c>
      <c r="Z10" s="39"/>
      <c r="AA10" s="41"/>
      <c r="AB10" s="53">
        <f t="shared" si="5"/>
        <v>2380</v>
      </c>
      <c r="AC10" s="39" t="s">
        <v>22</v>
      </c>
    </row>
    <row r="11" spans="1:29" ht="21" customHeight="1" x14ac:dyDescent="0.25">
      <c r="A11" s="39">
        <v>7</v>
      </c>
      <c r="B11" s="33"/>
      <c r="C11" s="32"/>
      <c r="D11" s="32"/>
      <c r="E11" s="55" t="e">
        <f>IF(#REF!="CASA",CONCATENATE("C:\Users\studi\Google Drive\CONTABILITA'\2020\Fatture\",D11," Trimestre\",B11,".pdf"),CONCATENATE("C:\Users\Sebastiano\Google Drive\CONTABILITA'\2020\Fatture\",D11," Trimestre\",B11,".pdf"))</f>
        <v>#REF!</v>
      </c>
      <c r="F11" s="26">
        <v>44408</v>
      </c>
      <c r="G11" s="27">
        <v>5</v>
      </c>
      <c r="H11" s="56">
        <f t="shared" si="2"/>
        <v>44413</v>
      </c>
      <c r="I11" s="21"/>
      <c r="J11" s="45" t="s">
        <v>22</v>
      </c>
      <c r="K11" s="48" t="s">
        <v>98</v>
      </c>
      <c r="L11" s="24">
        <f t="shared" si="7"/>
        <v>2380</v>
      </c>
      <c r="M11" s="57">
        <v>0</v>
      </c>
      <c r="N11" s="60">
        <f t="shared" si="0"/>
        <v>95.2</v>
      </c>
      <c r="O11" s="57">
        <v>0</v>
      </c>
      <c r="P11" s="58">
        <f t="shared" si="1"/>
        <v>2475.1999999999998</v>
      </c>
      <c r="Q11" s="39"/>
      <c r="R11" s="43" t="s">
        <v>30</v>
      </c>
      <c r="S11" s="44">
        <f>+S10*S9*S8</f>
        <v>1935</v>
      </c>
      <c r="T11" s="49"/>
      <c r="U11" s="39"/>
      <c r="V11" s="59">
        <v>44378</v>
      </c>
      <c r="W11" s="59">
        <f t="shared" si="3"/>
        <v>44408</v>
      </c>
      <c r="X11" s="41">
        <f t="shared" si="6"/>
        <v>22</v>
      </c>
      <c r="Y11" s="80">
        <f t="shared" si="4"/>
        <v>2.1666666666666665</v>
      </c>
      <c r="Z11" s="39"/>
      <c r="AA11" s="41"/>
      <c r="AB11" s="53">
        <f t="shared" si="5"/>
        <v>2380</v>
      </c>
      <c r="AC11" s="39" t="s">
        <v>22</v>
      </c>
    </row>
    <row r="12" spans="1:29" ht="21" customHeight="1" x14ac:dyDescent="0.25">
      <c r="A12" s="39">
        <v>8</v>
      </c>
      <c r="B12" s="33"/>
      <c r="C12" s="32"/>
      <c r="D12" s="32"/>
      <c r="E12" s="55" t="e">
        <f>IF(#REF!="CASA",CONCATENATE("C:\Users\studi\Google Drive\CONTABILITA'\2020\Fatture\",D12," Trimestre\",B12,".pdf"),CONCATENATE("C:\Users\Sebastiano\Google Drive\CONTABILITA'\2020\Fatture\",D12," Trimestre\",B12,".pdf"))</f>
        <v>#REF!</v>
      </c>
      <c r="F12" s="26">
        <v>44439</v>
      </c>
      <c r="G12" s="27">
        <v>5</v>
      </c>
      <c r="H12" s="56">
        <f t="shared" si="2"/>
        <v>44444</v>
      </c>
      <c r="I12" s="22"/>
      <c r="J12" s="45" t="s">
        <v>22</v>
      </c>
      <c r="K12" s="48" t="s">
        <v>98</v>
      </c>
      <c r="L12" s="24">
        <f t="shared" si="7"/>
        <v>2380</v>
      </c>
      <c r="M12" s="57">
        <v>0</v>
      </c>
      <c r="N12" s="60">
        <f t="shared" si="0"/>
        <v>95.2</v>
      </c>
      <c r="O12" s="57">
        <v>0</v>
      </c>
      <c r="P12" s="58">
        <f t="shared" si="1"/>
        <v>2475.1999999999998</v>
      </c>
      <c r="Q12" s="39"/>
      <c r="R12" s="39"/>
      <c r="S12" s="39"/>
      <c r="T12" s="41"/>
      <c r="U12" s="39"/>
      <c r="V12" s="59">
        <v>44409</v>
      </c>
      <c r="W12" s="59">
        <f t="shared" si="3"/>
        <v>44439</v>
      </c>
      <c r="X12" s="41">
        <f t="shared" si="6"/>
        <v>22</v>
      </c>
      <c r="Y12" s="80">
        <f t="shared" si="4"/>
        <v>2.1666666666666665</v>
      </c>
      <c r="Z12" s="39"/>
      <c r="AA12" s="41"/>
      <c r="AB12" s="53">
        <f t="shared" si="5"/>
        <v>2380</v>
      </c>
      <c r="AC12" s="39" t="s">
        <v>22</v>
      </c>
    </row>
    <row r="13" spans="1:29" ht="21" customHeight="1" x14ac:dyDescent="0.25">
      <c r="A13" s="39">
        <v>9</v>
      </c>
      <c r="B13" s="33"/>
      <c r="C13" s="32"/>
      <c r="D13" s="32"/>
      <c r="E13" s="55" t="e">
        <f>IF(#REF!="CASA",CONCATENATE("C:\Users\studi\Google Drive\CONTABILITA'\2020\Fatture\",D13," Trimestre\",B13,".pdf"),CONCATENATE("C:\Users\Sebastiano\Google Drive\CONTABILITA'\2020\Fatture\",D13," Trimestre\",B13,".pdf"))</f>
        <v>#REF!</v>
      </c>
      <c r="F13" s="26">
        <v>44469</v>
      </c>
      <c r="G13" s="27">
        <v>5</v>
      </c>
      <c r="H13" s="56">
        <f t="shared" si="2"/>
        <v>44474</v>
      </c>
      <c r="I13" s="22"/>
      <c r="J13" s="45" t="s">
        <v>22</v>
      </c>
      <c r="K13" s="48" t="s">
        <v>98</v>
      </c>
      <c r="L13" s="24">
        <f>IF($T$7&gt;=A13,IF(AA13="",AB13,AA13),0)+Z13</f>
        <v>2380</v>
      </c>
      <c r="M13" s="57">
        <v>0</v>
      </c>
      <c r="N13" s="60">
        <f t="shared" si="0"/>
        <v>95.2</v>
      </c>
      <c r="O13" s="57">
        <v>0</v>
      </c>
      <c r="P13" s="58">
        <f t="shared" si="1"/>
        <v>2475.1999999999998</v>
      </c>
      <c r="Q13" s="61"/>
      <c r="R13" s="39"/>
      <c r="S13" s="3" t="s">
        <v>31</v>
      </c>
      <c r="T13" s="18">
        <v>0.78</v>
      </c>
      <c r="U13" s="39"/>
      <c r="V13" s="59">
        <v>44440</v>
      </c>
      <c r="W13" s="59">
        <f t="shared" si="3"/>
        <v>44469</v>
      </c>
      <c r="X13" s="41">
        <f t="shared" si="6"/>
        <v>22</v>
      </c>
      <c r="Y13" s="80">
        <f t="shared" si="4"/>
        <v>2.1666666666666665</v>
      </c>
      <c r="Z13" s="39"/>
      <c r="AA13" s="41"/>
      <c r="AB13" s="53">
        <f t="shared" si="5"/>
        <v>2380</v>
      </c>
      <c r="AC13" s="39" t="s">
        <v>22</v>
      </c>
    </row>
    <row r="14" spans="1:29" ht="21" customHeight="1" x14ac:dyDescent="0.25">
      <c r="A14" s="39">
        <v>10</v>
      </c>
      <c r="B14" s="33"/>
      <c r="C14" s="32"/>
      <c r="D14" s="32"/>
      <c r="E14" s="55" t="e">
        <f>IF(#REF!="CASA",CONCATENATE("C:\Users\studi\Google Drive\CONTABILITA'\2020\Fatture\",D14," Trimestre\",B14,".pdf"),CONCATENATE("C:\Users\Sebastiano\Google Drive\CONTABILITA'\2020\Fatture\",D14," Trimestre\",B14,".pdf"))</f>
        <v>#REF!</v>
      </c>
      <c r="F14" s="26">
        <v>44500</v>
      </c>
      <c r="G14" s="27">
        <v>5</v>
      </c>
      <c r="H14" s="56">
        <f t="shared" si="2"/>
        <v>44505</v>
      </c>
      <c r="I14" s="21"/>
      <c r="J14" s="45" t="s">
        <v>22</v>
      </c>
      <c r="K14" s="48" t="s">
        <v>98</v>
      </c>
      <c r="L14" s="24">
        <f t="shared" si="7"/>
        <v>2260</v>
      </c>
      <c r="M14" s="57">
        <v>0</v>
      </c>
      <c r="N14" s="60">
        <f t="shared" si="0"/>
        <v>90.4</v>
      </c>
      <c r="O14" s="57">
        <v>0</v>
      </c>
      <c r="P14" s="58">
        <f>L14+N14+O14</f>
        <v>2350.4</v>
      </c>
      <c r="Q14" s="39"/>
      <c r="R14" s="39"/>
      <c r="S14" s="41"/>
      <c r="T14" s="18"/>
      <c r="U14" s="17"/>
      <c r="V14" s="59">
        <v>44470</v>
      </c>
      <c r="W14" s="59">
        <f t="shared" si="3"/>
        <v>44500</v>
      </c>
      <c r="X14" s="41">
        <f t="shared" si="6"/>
        <v>21</v>
      </c>
      <c r="Y14" s="80">
        <f t="shared" si="4"/>
        <v>2.1666666666666665</v>
      </c>
      <c r="Z14" s="39"/>
      <c r="AA14" s="41"/>
      <c r="AB14" s="53">
        <f t="shared" si="5"/>
        <v>2260</v>
      </c>
      <c r="AC14" s="39" t="s">
        <v>22</v>
      </c>
    </row>
    <row r="15" spans="1:29" ht="21" customHeight="1" x14ac:dyDescent="0.25">
      <c r="A15" s="39">
        <v>11</v>
      </c>
      <c r="B15" s="31"/>
      <c r="C15" s="32"/>
      <c r="D15" s="32"/>
      <c r="E15" s="55" t="e">
        <f>IF(#REF!="CASA",CONCATENATE("C:\Users\studi\Google Drive\CONTABILITA'\2020\Fatture\",D15," Trimestre\",B15,".pdf"),CONCATENATE("C:\Users\Sebastiano\Google Drive\CONTABILITA'\2020\Fatture\",D15," Trimestre\",B15,".pdf"))</f>
        <v>#REF!</v>
      </c>
      <c r="F15" s="26">
        <v>44530</v>
      </c>
      <c r="G15" s="27">
        <v>5</v>
      </c>
      <c r="H15" s="56">
        <f t="shared" si="2"/>
        <v>44535</v>
      </c>
      <c r="I15" s="22"/>
      <c r="J15" s="45" t="s">
        <v>22</v>
      </c>
      <c r="K15" s="48" t="s">
        <v>98</v>
      </c>
      <c r="L15" s="24">
        <f t="shared" si="7"/>
        <v>2380</v>
      </c>
      <c r="M15" s="57">
        <v>0</v>
      </c>
      <c r="N15" s="60">
        <f t="shared" si="0"/>
        <v>95.2</v>
      </c>
      <c r="O15" s="57">
        <v>0</v>
      </c>
      <c r="P15" s="58">
        <f>L15+N15+O15</f>
        <v>2475.1999999999998</v>
      </c>
      <c r="Q15" s="39"/>
      <c r="R15" s="39"/>
      <c r="S15" s="17" t="s">
        <v>32</v>
      </c>
      <c r="T15" s="62"/>
      <c r="U15" s="3"/>
      <c r="V15" s="59">
        <v>44501</v>
      </c>
      <c r="W15" s="59">
        <f t="shared" si="3"/>
        <v>44530</v>
      </c>
      <c r="X15" s="41">
        <f t="shared" si="6"/>
        <v>22</v>
      </c>
      <c r="Y15" s="80">
        <f t="shared" si="4"/>
        <v>2.1666666666666665</v>
      </c>
      <c r="Z15" s="39"/>
      <c r="AA15" s="41"/>
      <c r="AB15" s="53">
        <f t="shared" si="5"/>
        <v>2380</v>
      </c>
      <c r="AC15" s="39" t="s">
        <v>22</v>
      </c>
    </row>
    <row r="16" spans="1:29" ht="21" customHeight="1" x14ac:dyDescent="0.25">
      <c r="A16" s="39">
        <v>12</v>
      </c>
      <c r="B16" s="31"/>
      <c r="C16" s="32"/>
      <c r="D16" s="32"/>
      <c r="E16" s="55" t="e">
        <f>IF(#REF!="CASA",CONCATENATE("C:\Users\studi\Google Drive\CONTABILITA'\2020\Fatture\",D16," Trimestre\",B16,".pdf"),CONCATENATE("C:\Users\Sebastiano\Google Drive\CONTABILITA'\2020\Fatture\",D16," Trimestre\",B16,".pdf"))</f>
        <v>#REF!</v>
      </c>
      <c r="F16" s="26">
        <v>44561</v>
      </c>
      <c r="G16" s="27">
        <v>5</v>
      </c>
      <c r="H16" s="56">
        <f t="shared" si="2"/>
        <v>44566</v>
      </c>
      <c r="I16" s="22"/>
      <c r="J16" s="45" t="s">
        <v>22</v>
      </c>
      <c r="K16" s="48" t="s">
        <v>98</v>
      </c>
      <c r="L16" s="24">
        <f t="shared" si="7"/>
        <v>2500</v>
      </c>
      <c r="M16" s="57">
        <v>0</v>
      </c>
      <c r="N16" s="60">
        <f t="shared" si="0"/>
        <v>100</v>
      </c>
      <c r="O16" s="57">
        <v>0</v>
      </c>
      <c r="P16" s="58">
        <f>L16+N16+O16</f>
        <v>2600</v>
      </c>
      <c r="Q16" s="39"/>
      <c r="R16" s="36" t="s">
        <v>33</v>
      </c>
      <c r="S16" s="62">
        <f>L27</f>
        <v>28200</v>
      </c>
      <c r="T16" s="62"/>
      <c r="U16" s="3"/>
      <c r="V16" s="59">
        <v>44531</v>
      </c>
      <c r="W16" s="59">
        <f t="shared" si="3"/>
        <v>44561</v>
      </c>
      <c r="X16" s="41">
        <f t="shared" si="6"/>
        <v>23</v>
      </c>
      <c r="Y16" s="80">
        <f t="shared" si="4"/>
        <v>2.1666666666666665</v>
      </c>
      <c r="Z16" s="39"/>
      <c r="AA16" s="41"/>
      <c r="AB16" s="53">
        <f t="shared" si="5"/>
        <v>2500</v>
      </c>
      <c r="AC16" s="39" t="s">
        <v>22</v>
      </c>
    </row>
    <row r="17" spans="1:28" ht="21" customHeight="1" x14ac:dyDescent="0.25">
      <c r="A17" s="39">
        <v>13</v>
      </c>
      <c r="B17" s="31"/>
      <c r="C17" s="32"/>
      <c r="D17" s="32"/>
      <c r="E17" s="55" t="e">
        <f>IF(#REF!="CASA",CONCATENATE("C:\Users\studi\Google Drive\CONTABILITA'\2020\Fatture\",D17," Trimestre\",B17,".pdf"),CONCATENATE("C:\Users\Sebastiano\Google Drive\CONTABILITA'\2020\Fatture\",D17," Trimestre\",B17,".pdf"))</f>
        <v>#REF!</v>
      </c>
      <c r="F17" s="26"/>
      <c r="G17" s="27"/>
      <c r="H17" s="56"/>
      <c r="I17" s="22"/>
      <c r="J17" s="45"/>
      <c r="K17" s="48"/>
      <c r="L17" s="24"/>
      <c r="M17" s="57"/>
      <c r="N17" s="60"/>
      <c r="O17" s="57"/>
      <c r="P17" s="58"/>
      <c r="Q17" s="39"/>
      <c r="R17" s="39" t="s">
        <v>35</v>
      </c>
      <c r="S17" s="62">
        <f>S16+SUMIF(J5:J25,"x",(O5:O25))</f>
        <v>28200</v>
      </c>
      <c r="T17" s="62"/>
      <c r="U17" s="36"/>
      <c r="V17" s="59">
        <v>44562</v>
      </c>
      <c r="W17" s="41"/>
      <c r="X17" s="63"/>
      <c r="Y17" s="63"/>
      <c r="Z17" s="39"/>
      <c r="AA17" s="41"/>
      <c r="AB17" s="53">
        <f>SUM(AB5:AB16)/261/8</f>
        <v>13.505747126436782</v>
      </c>
    </row>
    <row r="18" spans="1:28" ht="21" customHeight="1" x14ac:dyDescent="0.25">
      <c r="A18" s="39">
        <v>14</v>
      </c>
      <c r="B18" s="31"/>
      <c r="C18" s="32"/>
      <c r="D18" s="32"/>
      <c r="E18" s="55" t="e">
        <f>IF(#REF!="CASA",CONCATENATE("C:\Users\studi\Google Drive\CONTABILITA'\2020\Fatture\",D18," Trimestre\",B18,".pdf"),CONCATENATE("C:\Users\Sebastiano\Google Drive\CONTABILITA'\2020\Fatture\",D18," Trimestre\",B18,".pdf"))</f>
        <v>#REF!</v>
      </c>
      <c r="F18" s="26"/>
      <c r="G18" s="27"/>
      <c r="H18" s="64"/>
      <c r="I18" s="22"/>
      <c r="J18" s="45"/>
      <c r="K18" s="48"/>
      <c r="L18" s="24"/>
      <c r="M18" s="57"/>
      <c r="N18" s="60"/>
      <c r="O18" s="60"/>
      <c r="P18" s="58"/>
      <c r="Q18" s="39"/>
      <c r="R18" s="36" t="s">
        <v>37</v>
      </c>
      <c r="S18" s="62"/>
      <c r="T18" s="62"/>
      <c r="U18" s="36"/>
      <c r="V18" s="41"/>
      <c r="W18" s="41"/>
      <c r="X18" s="63"/>
      <c r="Y18" s="63"/>
      <c r="Z18" s="39"/>
      <c r="AA18" s="41"/>
      <c r="AB18" s="41"/>
    </row>
    <row r="19" spans="1:28" ht="21" customHeight="1" x14ac:dyDescent="0.25">
      <c r="A19" s="39">
        <v>15</v>
      </c>
      <c r="B19" s="31"/>
      <c r="C19" s="32"/>
      <c r="D19" s="32"/>
      <c r="E19" s="55" t="e">
        <f>IF(#REF!="CASA",CONCATENATE("C:\Users\studi\Google Drive\CONTABILITA'\2020\Fatture\",D19," Trimestre\",B19,".pdf"),CONCATENATE("C:\Users\Sebastiano\Google Drive\CONTABILITA'\2020\Fatture\",D19," Trimestre\",B19,".pdf"))</f>
        <v>#REF!</v>
      </c>
      <c r="F19" s="26"/>
      <c r="G19" s="27"/>
      <c r="H19" s="64"/>
      <c r="I19" s="22"/>
      <c r="J19" s="45" t="str">
        <f t="shared" ref="J19:J25" si="8">IF(I19&lt;&gt;"","x","")</f>
        <v/>
      </c>
      <c r="K19" s="48"/>
      <c r="L19" s="24"/>
      <c r="M19" s="60"/>
      <c r="N19" s="60"/>
      <c r="O19" s="60"/>
      <c r="P19" s="58"/>
      <c r="Q19" s="39"/>
      <c r="R19" s="36" t="s">
        <v>38</v>
      </c>
      <c r="S19" s="62">
        <f>0.78*S17</f>
        <v>21996</v>
      </c>
      <c r="T19" s="4"/>
      <c r="U19" s="36"/>
      <c r="V19" s="41"/>
      <c r="W19" s="41"/>
      <c r="X19" s="63"/>
      <c r="Y19" s="63"/>
      <c r="Z19" s="39"/>
      <c r="AA19" s="41"/>
      <c r="AB19" s="41"/>
    </row>
    <row r="20" spans="1:28" ht="21" customHeight="1" x14ac:dyDescent="0.25">
      <c r="A20" s="39">
        <v>16</v>
      </c>
      <c r="B20" s="31"/>
      <c r="C20" s="32"/>
      <c r="D20" s="32"/>
      <c r="E20" s="55" t="e">
        <f>IF(#REF!="CASA",CONCATENATE("C:\Users\studi\Google Drive\CONTABILITA'\2020\Fatture\",D20," Trimestre\",B20,".pdf"),CONCATENATE("C:\Users\Sebastiano\Google Drive\CONTABILITA'\2020\Fatture\",D20," Trimestre\",B20,".pdf"))</f>
        <v>#REF!</v>
      </c>
      <c r="F20" s="26"/>
      <c r="G20" s="27"/>
      <c r="H20" s="64"/>
      <c r="I20" s="22"/>
      <c r="J20" s="45" t="str">
        <f t="shared" si="8"/>
        <v/>
      </c>
      <c r="K20" s="48"/>
      <c r="L20" s="24"/>
      <c r="M20" s="60"/>
      <c r="N20" s="60"/>
      <c r="O20" s="60"/>
      <c r="P20" s="58"/>
      <c r="Q20" s="39"/>
      <c r="R20" s="36" t="s">
        <v>39</v>
      </c>
      <c r="S20" s="4">
        <f>0.15*S19</f>
        <v>3299.4</v>
      </c>
      <c r="T20" s="41"/>
      <c r="U20" s="36"/>
      <c r="V20" s="41"/>
      <c r="W20" s="41"/>
      <c r="X20" s="63"/>
      <c r="Y20" s="63"/>
      <c r="Z20" s="39"/>
      <c r="AA20" s="41"/>
      <c r="AB20" s="41"/>
    </row>
    <row r="21" spans="1:28" ht="21" customHeight="1" x14ac:dyDescent="0.25">
      <c r="A21" s="39">
        <v>17</v>
      </c>
      <c r="B21" s="31"/>
      <c r="C21" s="32"/>
      <c r="D21" s="32"/>
      <c r="E21" s="55" t="e">
        <f>IF(#REF!="CASA",CONCATENATE("C:\Users\studi\Google Drive\CONTABILITA'\2020\Fatture\",D21," Trimestre\",B21,".pdf"),CONCATENATE("C:\Users\Sebastiano\Google Drive\CONTABILITA'\2020\Fatture\",D21," Trimestre\",B21,".pdf"))</f>
        <v>#REF!</v>
      </c>
      <c r="F21" s="26"/>
      <c r="G21" s="28"/>
      <c r="H21" s="64"/>
      <c r="I21" s="22"/>
      <c r="J21" s="45" t="str">
        <f t="shared" si="8"/>
        <v/>
      </c>
      <c r="K21" s="48"/>
      <c r="L21" s="24"/>
      <c r="M21" s="60"/>
      <c r="N21" s="60"/>
      <c r="O21" s="60"/>
      <c r="P21" s="58"/>
      <c r="Q21" s="39"/>
      <c r="R21" s="65"/>
      <c r="S21" s="18"/>
      <c r="T21" s="41"/>
      <c r="U21" s="39"/>
      <c r="V21" s="41"/>
      <c r="W21" s="41"/>
      <c r="X21" s="41"/>
      <c r="Y21" s="39"/>
      <c r="Z21" s="39"/>
      <c r="AA21" s="41"/>
      <c r="AB21" s="41"/>
    </row>
    <row r="22" spans="1:28" ht="21" customHeight="1" x14ac:dyDescent="0.25">
      <c r="A22" s="39">
        <v>18</v>
      </c>
      <c r="B22" s="31"/>
      <c r="C22" s="32"/>
      <c r="D22" s="32"/>
      <c r="E22" s="55" t="e">
        <f>IF(#REF!="CASA",CONCATENATE("C:\Users\studi\Google Drive\CONTABILITA'\2020\Fatture\",D22," Trimestre\",B22,".pdf"),CONCATENATE("C:\Users\Sebastiano\Google Drive\CONTABILITA'\2020\Fatture\",D22," Trimestre\",B22,".pdf"))</f>
        <v>#REF!</v>
      </c>
      <c r="F22" s="26"/>
      <c r="G22" s="28"/>
      <c r="H22" s="64"/>
      <c r="I22" s="22"/>
      <c r="J22" s="45" t="str">
        <f t="shared" si="8"/>
        <v/>
      </c>
      <c r="K22" s="48"/>
      <c r="L22" s="24"/>
      <c r="M22" s="60"/>
      <c r="N22" s="60"/>
      <c r="O22" s="60"/>
      <c r="P22" s="58"/>
      <c r="Q22" s="39"/>
      <c r="R22" s="3" t="s">
        <v>40</v>
      </c>
      <c r="S22" s="39"/>
      <c r="T22" s="62"/>
      <c r="U22" s="39"/>
      <c r="V22" s="41"/>
      <c r="W22" s="41"/>
      <c r="X22" s="41"/>
      <c r="Y22" s="39"/>
      <c r="Z22" s="39"/>
      <c r="AA22" s="41"/>
      <c r="AB22" s="41"/>
    </row>
    <row r="23" spans="1:28" ht="21" customHeight="1" x14ac:dyDescent="0.25">
      <c r="A23" s="39">
        <v>19</v>
      </c>
      <c r="B23" s="31"/>
      <c r="C23" s="32"/>
      <c r="D23" s="32"/>
      <c r="E23" s="55" t="e">
        <f>IF(#REF!="CASA",CONCATENATE("C:\Users\studi\Google Drive\CONTABILITA'\2020\Fatture\",D23," Trimestre\",B23,".pdf"),CONCATENATE("C:\Users\Sebastiano\Google Drive\CONTABILITA'\2020\Fatture\",D23," Trimestre\",B23,".pdf"))</f>
        <v>#REF!</v>
      </c>
      <c r="F23" s="26"/>
      <c r="G23" s="28"/>
      <c r="H23" s="64"/>
      <c r="I23" s="22"/>
      <c r="J23" s="45" t="str">
        <f t="shared" si="8"/>
        <v/>
      </c>
      <c r="K23" s="48"/>
      <c r="L23" s="24"/>
      <c r="M23" s="60"/>
      <c r="N23" s="60"/>
      <c r="O23" s="60"/>
      <c r="P23" s="58"/>
      <c r="Q23" s="39"/>
      <c r="R23" s="66" t="s">
        <v>41</v>
      </c>
      <c r="S23" s="67">
        <f>MAX(780,0.0725*S19)</f>
        <v>1594.7099999999998</v>
      </c>
      <c r="T23" s="62"/>
      <c r="U23" s="62"/>
      <c r="V23" s="68"/>
      <c r="W23" s="41"/>
      <c r="X23" s="41"/>
      <c r="Y23" s="39"/>
      <c r="Z23" s="39"/>
      <c r="AA23" s="41"/>
      <c r="AB23" s="41"/>
    </row>
    <row r="24" spans="1:28" ht="21" customHeight="1" x14ac:dyDescent="0.25">
      <c r="A24" s="39">
        <v>20</v>
      </c>
      <c r="B24" s="31"/>
      <c r="C24" s="32"/>
      <c r="D24" s="32"/>
      <c r="E24" s="55" t="e">
        <f>IF(#REF!="CASA",CONCATENATE("C:\Users\studi\Google Drive\CONTABILITA'\2020\Fatture\",D24," Trimestre\",B24,".pdf"),CONCATENATE("C:\Users\Sebastiano\Google Drive\CONTABILITA'\2020\Fatture\",D24," Trimestre\",B24,".pdf"))</f>
        <v>#REF!</v>
      </c>
      <c r="F24" s="26"/>
      <c r="G24" s="28"/>
      <c r="H24" s="64"/>
      <c r="I24" s="22"/>
      <c r="J24" s="45" t="str">
        <f t="shared" si="8"/>
        <v/>
      </c>
      <c r="K24" s="48"/>
      <c r="L24" s="24"/>
      <c r="M24" s="60"/>
      <c r="N24" s="60"/>
      <c r="O24" s="60"/>
      <c r="P24" s="58"/>
      <c r="Q24" s="39"/>
      <c r="R24" s="36" t="s">
        <v>42</v>
      </c>
      <c r="S24" s="62">
        <f>MAX(231.5,0.04*S16)</f>
        <v>1128</v>
      </c>
      <c r="T24" s="62"/>
      <c r="U24" s="62"/>
      <c r="V24" s="41"/>
      <c r="W24" s="41"/>
      <c r="X24" s="41"/>
      <c r="Y24" s="39"/>
      <c r="Z24" s="39"/>
      <c r="AA24" s="41"/>
      <c r="AB24" s="41"/>
    </row>
    <row r="25" spans="1:28" ht="21" customHeight="1" x14ac:dyDescent="0.25">
      <c r="A25" s="39">
        <v>21</v>
      </c>
      <c r="B25" s="34"/>
      <c r="C25" s="35"/>
      <c r="D25" s="35"/>
      <c r="E25" s="69" t="e">
        <f>IF(#REF!="CASA",CONCATENATE("C:\Users\studi\Google Drive\CONTABILITA'\2020\Fatture\",D25," Trimestre\",B25,".pdf"),CONCATENATE("C:\Users\Sebastiano\Google Drive\CONTABILITA'\2020\Fatture\",D25," Trimestre\",B25,".pdf"))</f>
        <v>#REF!</v>
      </c>
      <c r="F25" s="29"/>
      <c r="G25" s="30"/>
      <c r="H25" s="70"/>
      <c r="I25" s="23"/>
      <c r="J25" s="71" t="str">
        <f t="shared" si="8"/>
        <v/>
      </c>
      <c r="K25" s="72"/>
      <c r="L25" s="25"/>
      <c r="M25" s="73"/>
      <c r="N25" s="73"/>
      <c r="O25" s="73"/>
      <c r="P25" s="74"/>
      <c r="Q25" s="39"/>
      <c r="R25" s="36" t="s">
        <v>43</v>
      </c>
      <c r="S25" s="62">
        <v>39</v>
      </c>
      <c r="T25" s="4"/>
      <c r="U25" s="4"/>
      <c r="V25" s="62"/>
      <c r="W25" s="41"/>
      <c r="X25" s="41"/>
      <c r="Y25" s="39"/>
      <c r="Z25" s="39"/>
      <c r="AA25" s="41"/>
      <c r="AB25" s="41"/>
    </row>
    <row r="26" spans="1:28" ht="24.95" customHeight="1" x14ac:dyDescent="0.25">
      <c r="A26" s="39"/>
      <c r="B26" s="41"/>
      <c r="C26" s="41"/>
      <c r="D26" s="41"/>
      <c r="E26" s="41"/>
      <c r="F26" s="39"/>
      <c r="G26" s="39"/>
      <c r="H26" s="39"/>
      <c r="I26" s="39"/>
      <c r="J26" s="39"/>
      <c r="K26" s="39" t="s">
        <v>44</v>
      </c>
      <c r="L26" s="75">
        <f>SUBTOTAL(9,L5:L25)</f>
        <v>28200</v>
      </c>
      <c r="M26" s="76"/>
      <c r="N26" s="75">
        <f>SUBTOTAL(9,N5:N25)</f>
        <v>1128.0000000000002</v>
      </c>
      <c r="O26" s="12" t="s">
        <v>45</v>
      </c>
      <c r="P26" s="11">
        <f>SUBTOTAL(9,P5:P25)</f>
        <v>29328.000000000004</v>
      </c>
      <c r="Q26" s="39"/>
      <c r="R26" s="39"/>
      <c r="S26" s="4">
        <f>SUM(S23:S25)</f>
        <v>2761.71</v>
      </c>
      <c r="T26" s="41"/>
      <c r="U26" s="39"/>
      <c r="V26" s="62"/>
      <c r="W26" s="41"/>
      <c r="X26" s="41"/>
      <c r="Y26" s="39"/>
      <c r="Z26" s="39"/>
      <c r="AA26" s="41"/>
      <c r="AB26" s="41"/>
    </row>
    <row r="27" spans="1:28" ht="24.95" customHeight="1" x14ac:dyDescent="0.25">
      <c r="A27" s="39"/>
      <c r="B27" s="41"/>
      <c r="C27" s="41"/>
      <c r="D27" s="41"/>
      <c r="E27" s="19"/>
      <c r="F27" s="39"/>
      <c r="G27" s="39"/>
      <c r="H27" s="39"/>
      <c r="I27" s="39"/>
      <c r="J27" s="39"/>
      <c r="K27" s="39" t="s">
        <v>46</v>
      </c>
      <c r="L27" s="77">
        <f>SUMIF(J5:J25,"x",L5:L25)</f>
        <v>28200</v>
      </c>
      <c r="M27" s="61"/>
      <c r="N27" s="41"/>
      <c r="O27" s="39"/>
      <c r="P27" s="39"/>
      <c r="Q27" s="39"/>
      <c r="R27" s="38"/>
      <c r="S27" s="51">
        <f>(P26-S28)/P26</f>
        <v>0.20666632569558102</v>
      </c>
      <c r="T27" s="51">
        <f>1-(L26-S20-S23-S25)/L26</f>
        <v>0.1749329787234043</v>
      </c>
      <c r="U27" s="39"/>
      <c r="V27" s="41"/>
      <c r="W27" s="41"/>
      <c r="X27" s="41"/>
      <c r="Y27" s="39"/>
      <c r="Z27" s="39"/>
      <c r="AA27" s="41"/>
      <c r="AB27" s="41"/>
    </row>
    <row r="28" spans="1:28" ht="24.95" customHeight="1" x14ac:dyDescent="0.25">
      <c r="A28" s="39"/>
      <c r="B28" s="41"/>
      <c r="C28" s="41"/>
      <c r="D28" s="41"/>
      <c r="E28" s="41"/>
      <c r="F28" s="39"/>
      <c r="G28" s="39"/>
      <c r="H28" s="39"/>
      <c r="I28" s="39"/>
      <c r="J28" s="39"/>
      <c r="K28" s="39"/>
      <c r="L28" s="78"/>
      <c r="M28" s="61"/>
      <c r="N28" s="41"/>
      <c r="O28" s="39"/>
      <c r="P28" s="39"/>
      <c r="Q28" s="39"/>
      <c r="R28" s="46" t="s">
        <v>56</v>
      </c>
      <c r="S28" s="47">
        <f>P26-S20-S26</f>
        <v>23266.890000000003</v>
      </c>
      <c r="T28" s="62" t="e">
        <f>S34*T7+S32*S7+S31+S33</f>
        <v>#DIV/0!</v>
      </c>
      <c r="U28" s="39"/>
      <c r="V28" s="41"/>
      <c r="W28" s="41"/>
      <c r="X28" s="41"/>
      <c r="Y28" s="39"/>
      <c r="Z28" s="39"/>
      <c r="AA28" s="41"/>
      <c r="AB28" s="41"/>
    </row>
    <row r="29" spans="1:28" ht="24.95" customHeight="1" x14ac:dyDescent="0.25">
      <c r="A29" s="39"/>
      <c r="B29" s="41"/>
      <c r="C29" s="41"/>
      <c r="D29" s="41"/>
      <c r="E29" s="41"/>
      <c r="F29" s="39"/>
      <c r="G29" s="39"/>
      <c r="H29" s="39"/>
      <c r="I29" s="39"/>
      <c r="J29" s="39"/>
      <c r="K29" s="39"/>
      <c r="L29" s="61"/>
      <c r="M29" s="61"/>
      <c r="N29" s="41"/>
      <c r="O29" s="39"/>
      <c r="P29" s="39"/>
      <c r="Q29" s="39"/>
      <c r="R29" s="46" t="s">
        <v>59</v>
      </c>
      <c r="S29" s="47">
        <f>S34*T7+S33</f>
        <v>23266.890000000003</v>
      </c>
      <c r="T29" s="62"/>
      <c r="U29" s="39"/>
      <c r="V29" s="41"/>
      <c r="W29" s="41"/>
      <c r="X29" s="41"/>
      <c r="Y29" s="39"/>
      <c r="Z29" s="39"/>
      <c r="AA29" s="41"/>
      <c r="AB29" s="41"/>
    </row>
    <row r="30" spans="1:28" ht="6.6" customHeight="1" x14ac:dyDescent="0.25">
      <c r="A30" s="39"/>
      <c r="B30" s="41"/>
      <c r="C30" s="41"/>
      <c r="D30" s="41"/>
      <c r="E30" s="41"/>
      <c r="F30" s="39"/>
      <c r="G30" s="39"/>
      <c r="H30" s="39"/>
      <c r="I30" s="39"/>
      <c r="J30" s="39"/>
      <c r="K30" s="39"/>
      <c r="L30" s="39"/>
      <c r="M30" s="39"/>
      <c r="N30" s="41"/>
      <c r="O30" s="39"/>
      <c r="P30" s="39"/>
      <c r="Q30" s="39"/>
      <c r="R30" s="39"/>
      <c r="S30" s="41"/>
      <c r="T30" s="41"/>
      <c r="U30" s="39"/>
      <c r="V30" s="41"/>
      <c r="W30" s="41"/>
      <c r="X30" s="41"/>
      <c r="Y30" s="39"/>
      <c r="Z30" s="39"/>
      <c r="AA30" s="41"/>
      <c r="AB30" s="41"/>
    </row>
    <row r="31" spans="1:28" ht="24.95" customHeight="1" x14ac:dyDescent="0.25">
      <c r="A31" s="39"/>
      <c r="B31" s="41"/>
      <c r="C31" s="41"/>
      <c r="D31" s="41"/>
      <c r="E31" s="41"/>
      <c r="F31" s="39"/>
      <c r="G31" s="39"/>
      <c r="H31" s="39"/>
      <c r="I31" s="39"/>
      <c r="J31" s="39"/>
      <c r="K31" s="39"/>
      <c r="L31" s="39"/>
      <c r="M31" s="79"/>
      <c r="N31" s="39"/>
      <c r="O31" s="41"/>
      <c r="P31" s="39"/>
      <c r="Q31" s="39"/>
      <c r="R31" s="46" t="s">
        <v>60</v>
      </c>
      <c r="S31" s="47">
        <f>(SUM(P17)-(S20+S26)/(P26)*SUM(P17))</f>
        <v>0</v>
      </c>
      <c r="T31" s="41"/>
      <c r="U31" s="39"/>
      <c r="V31" s="41"/>
      <c r="W31" s="41"/>
      <c r="X31" s="41"/>
      <c r="Y31" s="39"/>
      <c r="Z31" s="39"/>
      <c r="AA31" s="41"/>
      <c r="AB31" s="41"/>
    </row>
    <row r="32" spans="1:28" ht="24.95" customHeight="1" x14ac:dyDescent="0.25">
      <c r="A32" s="39"/>
      <c r="B32" s="41"/>
      <c r="C32" s="41"/>
      <c r="D32" s="41"/>
      <c r="E32" s="41"/>
      <c r="F32" s="39"/>
      <c r="G32" s="39"/>
      <c r="H32" s="39"/>
      <c r="I32" s="39"/>
      <c r="J32" s="39"/>
      <c r="K32" s="39"/>
      <c r="L32" s="50"/>
      <c r="M32" s="50"/>
      <c r="N32" s="39"/>
      <c r="O32" s="41"/>
      <c r="P32" s="236" t="e">
        <f>(S34*T7+S32*S7+S33)/(S7+T7)</f>
        <v>#DIV/0!</v>
      </c>
      <c r="Q32" s="233" t="s">
        <v>51</v>
      </c>
      <c r="R32" s="46" t="s">
        <v>61</v>
      </c>
      <c r="S32" s="47" t="e">
        <f>(SUM(Z5:Z6)*1.04-(S20+S26)/(P26)*SUM(Z5:Z6)*1.04)/S7</f>
        <v>#DIV/0!</v>
      </c>
      <c r="T32" s="41"/>
      <c r="U32" s="39"/>
      <c r="V32" s="41"/>
      <c r="W32" s="41"/>
      <c r="X32" s="41"/>
      <c r="Y32" s="39"/>
      <c r="Z32" s="39"/>
      <c r="AA32" s="41"/>
      <c r="AB32" s="41"/>
    </row>
    <row r="33" spans="11:21" ht="24.95" customHeight="1" x14ac:dyDescent="0.25">
      <c r="K33" s="50"/>
      <c r="L33" s="50"/>
      <c r="M33" s="50"/>
      <c r="N33" s="39"/>
      <c r="O33" s="41"/>
      <c r="P33" s="238"/>
      <c r="Q33" s="234"/>
      <c r="R33" s="46" t="s">
        <v>62</v>
      </c>
      <c r="S33" s="47">
        <f>(SUM(P18)-(S20+S26)/(P26)*SUM(P18))</f>
        <v>0</v>
      </c>
      <c r="T33" s="233" t="s">
        <v>51</v>
      </c>
      <c r="U33" s="236">
        <f>(S34*T7+S33)/T7</f>
        <v>1938.9075000000003</v>
      </c>
    </row>
    <row r="34" spans="11:21" ht="24.95" customHeight="1" x14ac:dyDescent="0.25">
      <c r="K34" s="50"/>
      <c r="L34" s="50"/>
      <c r="M34" s="50"/>
      <c r="N34" s="39"/>
      <c r="O34" s="41"/>
      <c r="P34" s="237"/>
      <c r="Q34" s="235"/>
      <c r="R34" s="46" t="s">
        <v>57</v>
      </c>
      <c r="S34" s="47">
        <f>(P26-SUM(Z5:Z6)*1.04-P17-P18-(S20+S26)/(P26)*(P26-SUM(Z5:Z6)*1.04-P17-P18))/T7</f>
        <v>1938.9075000000003</v>
      </c>
      <c r="T34" s="235"/>
      <c r="U34" s="237"/>
    </row>
    <row r="35" spans="11:21" ht="24.95" customHeight="1" x14ac:dyDescent="0.25">
      <c r="K35" s="39"/>
      <c r="L35" s="39"/>
      <c r="M35" s="39"/>
      <c r="N35" s="39"/>
      <c r="O35" s="41"/>
      <c r="P35" s="39"/>
      <c r="Q35" s="39"/>
      <c r="R35" s="39" t="s">
        <v>55</v>
      </c>
      <c r="S35" s="61" t="e">
        <f>S34*T7+S32*S7+S26+S20+S31+S33</f>
        <v>#DIV/0!</v>
      </c>
      <c r="T35" s="41"/>
      <c r="U35" s="61"/>
    </row>
    <row r="36" spans="11:21" ht="24.95" customHeight="1" x14ac:dyDescent="0.25">
      <c r="K36" s="39"/>
      <c r="L36" s="39"/>
      <c r="M36" s="39"/>
      <c r="N36" s="39"/>
      <c r="O36" s="41"/>
      <c r="P36" s="39"/>
      <c r="Q36" s="39"/>
      <c r="R36" s="39"/>
      <c r="S36" s="39"/>
      <c r="T36" s="41"/>
      <c r="U36" s="39"/>
    </row>
    <row r="37" spans="11:21" ht="24.95" customHeight="1" x14ac:dyDescent="0.25">
      <c r="K37" s="39"/>
      <c r="L37" s="39"/>
      <c r="M37" s="39"/>
      <c r="N37" s="39"/>
      <c r="O37" s="41"/>
      <c r="P37" s="39"/>
      <c r="Q37" s="39"/>
      <c r="R37" s="39"/>
      <c r="S37" s="39"/>
      <c r="T37" s="41"/>
      <c r="U37" s="39"/>
    </row>
  </sheetData>
  <mergeCells count="6">
    <mergeCell ref="U33:U34"/>
    <mergeCell ref="B1:P1"/>
    <mergeCell ref="B2:P2"/>
    <mergeCell ref="P32:P34"/>
    <mergeCell ref="Q32:Q34"/>
    <mergeCell ref="T33:T34"/>
  </mergeCells>
  <conditionalFormatting sqref="S35">
    <cfRule type="expression" dxfId="0" priority="1">
      <formula>IF($P$26=$S$35,"FALSE","TRUE")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2E95-0CAB-4ECF-877A-53A05A375B98}">
  <sheetPr codeName="Foglio5"/>
  <dimension ref="B1:AB38"/>
  <sheetViews>
    <sheetView showGridLines="0" topLeftCell="A6" zoomScale="85" zoomScaleNormal="85" workbookViewId="0">
      <selection activeCell="Q20" sqref="Q20"/>
    </sheetView>
  </sheetViews>
  <sheetFormatPr defaultColWidth="9.140625" defaultRowHeight="24.95" customHeight="1" x14ac:dyDescent="0.25"/>
  <cols>
    <col min="1" max="1" width="3.42578125" style="1" customWidth="1"/>
    <col min="2" max="2" width="9.140625" style="1" customWidth="1"/>
    <col min="3" max="3" width="8.140625" style="2" customWidth="1"/>
    <col min="4" max="4" width="12.85546875" style="2" customWidth="1"/>
    <col min="5" max="5" width="12.28515625" style="2" customWidth="1"/>
    <col min="6" max="6" width="61.7109375" style="2" hidden="1" customWidth="1"/>
    <col min="7" max="7" width="11.28515625" style="1" customWidth="1"/>
    <col min="8" max="8" width="20.7109375" style="1" customWidth="1"/>
    <col min="9" max="9" width="14.28515625" style="1" customWidth="1"/>
    <col min="10" max="10" width="12.28515625" style="1" customWidth="1"/>
    <col min="11" max="11" width="10.7109375" style="1" customWidth="1"/>
    <col min="12" max="12" width="11.28515625" style="2" customWidth="1"/>
    <col min="13" max="14" width="10.140625" style="1" customWidth="1"/>
    <col min="15" max="15" width="13.5703125" style="1" customWidth="1"/>
    <col min="16" max="16" width="25" style="1" customWidth="1"/>
    <col min="17" max="18" width="18" style="2" customWidth="1"/>
    <col min="19" max="19" width="40.140625" style="2" customWidth="1"/>
    <col min="20" max="20" width="22" style="1" customWidth="1"/>
    <col min="21" max="21" width="17.42578125" style="2" customWidth="1"/>
    <col min="22" max="22" width="24.140625" style="2" customWidth="1"/>
    <col min="23" max="23" width="17.140625" style="2" customWidth="1"/>
    <col min="24" max="24" width="9.42578125" style="1" customWidth="1"/>
    <col min="25" max="25" width="13.7109375" style="1" customWidth="1"/>
    <col min="26" max="26" width="12.85546875" style="2" customWidth="1"/>
    <col min="27" max="27" width="11.42578125" style="2" customWidth="1"/>
    <col min="28" max="16384" width="9.140625" style="1"/>
  </cols>
  <sheetData>
    <row r="1" spans="2:28" ht="28.5" customHeight="1" x14ac:dyDescent="0.25">
      <c r="B1" s="39"/>
      <c r="C1" s="229" t="s">
        <v>0</v>
      </c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86"/>
      <c r="O1" s="39"/>
      <c r="P1" s="39"/>
      <c r="Q1" s="41"/>
      <c r="R1" s="41"/>
      <c r="S1" s="41"/>
      <c r="T1" s="39"/>
      <c r="U1" s="41"/>
      <c r="V1" s="41"/>
      <c r="W1" s="41"/>
      <c r="X1" s="39"/>
      <c r="Y1" s="39"/>
      <c r="Z1" s="41"/>
      <c r="AA1" s="41"/>
      <c r="AB1" s="39"/>
    </row>
    <row r="2" spans="2:28" ht="13.5" customHeight="1" x14ac:dyDescent="0.25">
      <c r="B2" s="39"/>
      <c r="C2" s="230" t="s">
        <v>93</v>
      </c>
      <c r="D2" s="230"/>
      <c r="E2" s="230"/>
      <c r="F2" s="230"/>
      <c r="G2" s="230"/>
      <c r="H2" s="230"/>
      <c r="I2" s="230"/>
      <c r="J2" s="230" t="s">
        <v>2</v>
      </c>
      <c r="K2" s="230"/>
      <c r="L2" s="230"/>
      <c r="M2" s="230"/>
      <c r="N2" s="18"/>
      <c r="O2" s="39"/>
      <c r="P2" s="39"/>
      <c r="Q2" s="41"/>
      <c r="R2" s="41"/>
      <c r="S2" s="41"/>
      <c r="T2" s="39"/>
      <c r="U2" s="41"/>
      <c r="V2" s="41"/>
      <c r="W2" s="41"/>
      <c r="X2" s="39"/>
      <c r="Y2" s="39"/>
      <c r="Z2" s="41"/>
      <c r="AA2" s="41"/>
      <c r="AB2" s="39"/>
    </row>
    <row r="3" spans="2:28" ht="24.95" customHeight="1" x14ac:dyDescent="0.25">
      <c r="B3" s="39"/>
      <c r="C3" s="41"/>
      <c r="D3" s="41"/>
      <c r="E3" s="13"/>
      <c r="F3" s="13"/>
      <c r="G3" s="39"/>
      <c r="H3" s="54"/>
      <c r="I3" s="39"/>
      <c r="J3" s="39"/>
      <c r="K3" s="39"/>
      <c r="L3" s="41"/>
      <c r="M3" s="39"/>
      <c r="N3" s="39"/>
      <c r="O3" s="39"/>
      <c r="P3" s="39"/>
      <c r="Q3" s="41"/>
      <c r="R3" s="41"/>
      <c r="S3" s="41"/>
      <c r="T3" s="39"/>
      <c r="U3" s="41"/>
      <c r="V3" s="41"/>
      <c r="W3" s="41"/>
      <c r="X3" s="39"/>
      <c r="Y3" s="39"/>
      <c r="Z3" s="41"/>
      <c r="AA3" s="41"/>
      <c r="AB3" s="39"/>
    </row>
    <row r="4" spans="2:28" ht="47.45" customHeight="1" x14ac:dyDescent="0.2">
      <c r="B4" s="5" t="s">
        <v>88</v>
      </c>
      <c r="C4" s="244" t="s">
        <v>87</v>
      </c>
      <c r="D4" s="245"/>
      <c r="E4" s="14" t="s">
        <v>86</v>
      </c>
      <c r="F4" s="14"/>
      <c r="G4" s="5" t="s">
        <v>6</v>
      </c>
      <c r="H4" s="7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9" t="s">
        <v>16</v>
      </c>
      <c r="N4" s="10" t="s">
        <v>17</v>
      </c>
      <c r="O4" s="39"/>
      <c r="P4" s="39"/>
      <c r="Q4" s="39"/>
      <c r="R4" s="39"/>
      <c r="S4" s="41"/>
      <c r="T4" s="39"/>
      <c r="U4" s="41"/>
      <c r="V4" s="37"/>
      <c r="W4" s="37"/>
      <c r="X4" s="18"/>
      <c r="Y4" s="39"/>
      <c r="Z4" s="41"/>
      <c r="AA4" s="41"/>
      <c r="AB4" s="39"/>
    </row>
    <row r="5" spans="2:28" ht="21" customHeight="1" x14ac:dyDescent="0.25">
      <c r="B5" s="156">
        <v>14</v>
      </c>
      <c r="C5" s="130"/>
      <c r="D5" s="133">
        <v>45291</v>
      </c>
      <c r="E5" s="131" t="s">
        <v>83</v>
      </c>
      <c r="F5" s="132"/>
      <c r="G5" s="133"/>
      <c r="H5" s="134" t="s">
        <v>27</v>
      </c>
      <c r="I5" s="135">
        <v>2900</v>
      </c>
      <c r="J5" s="136">
        <v>0</v>
      </c>
      <c r="K5" s="136">
        <f t="shared" ref="K5:K8" si="0">IF(N5="x",0,0.04*(L5+I5))</f>
        <v>0</v>
      </c>
      <c r="L5" s="136">
        <v>2</v>
      </c>
      <c r="M5" s="137">
        <f t="shared" ref="M5:M9" si="1">I5+K5+L5</f>
        <v>2902</v>
      </c>
      <c r="N5" s="62" t="s">
        <v>22</v>
      </c>
      <c r="O5" s="61">
        <f>M5*(1-Q27)</f>
        <v>2408.9608673120902</v>
      </c>
      <c r="P5" s="61">
        <f>O5-M5</f>
        <v>-493.03913268790984</v>
      </c>
      <c r="Q5" s="41"/>
      <c r="R5" s="41"/>
      <c r="S5" s="41"/>
      <c r="T5" s="39"/>
      <c r="U5" s="59"/>
      <c r="V5" s="53"/>
      <c r="W5" s="41"/>
      <c r="X5" s="80"/>
      <c r="Y5" s="81"/>
      <c r="Z5" s="53"/>
      <c r="AA5" s="53"/>
      <c r="AB5" s="39"/>
    </row>
    <row r="6" spans="2:28" ht="21" customHeight="1" x14ac:dyDescent="0.25">
      <c r="B6" s="157">
        <v>1</v>
      </c>
      <c r="C6" s="31"/>
      <c r="D6" s="26">
        <v>45322</v>
      </c>
      <c r="E6" s="32" t="s">
        <v>72</v>
      </c>
      <c r="F6" s="55" t="e">
        <f>IF(#REF!="CASA",CONCATENATE("C:\Users\studi\Google Drive\CONTABILITA'\",D6,"\",E6," Trimestre\Fatture\",C6,".pdf"),CONCATENATE("C:\Users\Sebastiano\Google Drive\CONTABILITA'\",D6,"\",E6," Trimestre\Fatture\",C6,".pdf"))</f>
        <v>#REF!</v>
      </c>
      <c r="G6" s="26"/>
      <c r="H6" s="48" t="s">
        <v>27</v>
      </c>
      <c r="I6" s="24">
        <v>2900</v>
      </c>
      <c r="J6" s="57">
        <v>0</v>
      </c>
      <c r="K6" s="57">
        <f t="shared" si="0"/>
        <v>0</v>
      </c>
      <c r="L6" s="57">
        <v>2</v>
      </c>
      <c r="M6" s="58">
        <f t="shared" si="1"/>
        <v>2902</v>
      </c>
      <c r="N6" s="62" t="s">
        <v>22</v>
      </c>
      <c r="O6" s="39"/>
      <c r="P6" s="39"/>
      <c r="Q6" s="59"/>
      <c r="R6" s="59"/>
      <c r="S6" s="59"/>
      <c r="T6" s="41"/>
      <c r="U6" s="80"/>
      <c r="V6" s="81"/>
      <c r="W6" s="53"/>
      <c r="X6" s="53"/>
      <c r="Y6" s="39"/>
      <c r="Z6" s="1"/>
      <c r="AA6" s="1"/>
    </row>
    <row r="7" spans="2:28" ht="21" customHeight="1" x14ac:dyDescent="0.25">
      <c r="B7" s="157">
        <v>2</v>
      </c>
      <c r="C7" s="31"/>
      <c r="D7" s="26">
        <v>45351</v>
      </c>
      <c r="E7" s="32" t="s">
        <v>73</v>
      </c>
      <c r="F7" s="55" t="e">
        <f>IF(#REF!="CASA",CONCATENATE("C:\Users\studi\Google Drive\CONTABILITA'\2019\",E7," Trimestre\Fatture\",C7,".pdf"),CONCATENATE("C:\Users\Sebastiano\Google Drive\CONTABILITA'\2019\",E7," Trimestre\Fatture\",C7,".pdf"))</f>
        <v>#REF!</v>
      </c>
      <c r="G7" s="26"/>
      <c r="H7" s="48" t="s">
        <v>27</v>
      </c>
      <c r="I7" s="24">
        <v>2900</v>
      </c>
      <c r="J7" s="57">
        <v>0</v>
      </c>
      <c r="K7" s="57">
        <f t="shared" si="0"/>
        <v>0</v>
      </c>
      <c r="L7" s="57">
        <v>2</v>
      </c>
      <c r="M7" s="58">
        <f t="shared" si="1"/>
        <v>2902</v>
      </c>
      <c r="N7" s="62" t="s">
        <v>22</v>
      </c>
      <c r="O7" s="39"/>
      <c r="P7" s="39"/>
      <c r="Q7" s="59"/>
      <c r="R7" s="59"/>
      <c r="S7" s="169"/>
      <c r="T7" s="41"/>
      <c r="U7" s="80"/>
      <c r="V7" s="81"/>
      <c r="W7" s="53"/>
      <c r="X7" s="53"/>
      <c r="Y7" s="39"/>
      <c r="Z7" s="1"/>
      <c r="AA7" s="1"/>
    </row>
    <row r="8" spans="2:28" ht="21" customHeight="1" x14ac:dyDescent="0.25">
      <c r="B8" s="157">
        <v>3</v>
      </c>
      <c r="C8" s="31"/>
      <c r="D8" s="26">
        <v>45382</v>
      </c>
      <c r="E8" s="32" t="s">
        <v>74</v>
      </c>
      <c r="F8" s="55" t="e">
        <f>IF(#REF!="CASA",CONCATENATE("C:\Users\studi\Google Drive\CONTABILITA'\2020\",E8," Trimestre\Fatture\",C8,".pdf"),CONCATENATE("C:\Users\Sebastiano\Google Drive\CONTABILITA'\2020\",E8," Trimestre\Fatture\",C8,".pdf"))</f>
        <v>#REF!</v>
      </c>
      <c r="G8" s="26"/>
      <c r="H8" s="48" t="s">
        <v>27</v>
      </c>
      <c r="I8" s="24">
        <v>2900</v>
      </c>
      <c r="J8" s="57">
        <v>0</v>
      </c>
      <c r="K8" s="57">
        <f t="shared" si="0"/>
        <v>0</v>
      </c>
      <c r="L8" s="57">
        <v>2</v>
      </c>
      <c r="M8" s="58">
        <f t="shared" si="1"/>
        <v>2902</v>
      </c>
      <c r="N8" s="62" t="s">
        <v>22</v>
      </c>
      <c r="O8" s="39"/>
      <c r="P8" s="39"/>
      <c r="Q8" s="59"/>
      <c r="R8" s="59"/>
      <c r="S8" s="59"/>
      <c r="T8" s="41"/>
      <c r="U8" s="80"/>
      <c r="V8" s="39"/>
      <c r="W8" s="82"/>
      <c r="X8" s="53"/>
      <c r="Y8" s="39"/>
      <c r="Z8" s="1"/>
      <c r="AA8" s="1"/>
    </row>
    <row r="9" spans="2:28" ht="21" customHeight="1" x14ac:dyDescent="0.25">
      <c r="B9" s="157">
        <v>4</v>
      </c>
      <c r="C9" s="31"/>
      <c r="D9" s="26">
        <v>45390</v>
      </c>
      <c r="E9" s="32"/>
      <c r="F9" s="55"/>
      <c r="G9" s="26"/>
      <c r="H9" s="48" t="s">
        <v>101</v>
      </c>
      <c r="I9" s="24">
        <v>1500</v>
      </c>
      <c r="J9" s="57">
        <v>0</v>
      </c>
      <c r="K9" s="57">
        <f>IF(N9="x",0,0.04*(L9+I9))</f>
        <v>60.08</v>
      </c>
      <c r="L9" s="57">
        <v>2</v>
      </c>
      <c r="M9" s="58">
        <f t="shared" si="1"/>
        <v>1562.08</v>
      </c>
      <c r="N9" s="62"/>
      <c r="O9" s="39"/>
      <c r="P9" s="39"/>
      <c r="Q9" s="59"/>
      <c r="R9" s="59"/>
      <c r="S9" s="59"/>
      <c r="T9" s="41"/>
      <c r="U9" s="80"/>
      <c r="V9" s="39"/>
      <c r="W9" s="82"/>
      <c r="X9" s="53"/>
      <c r="Y9" s="39"/>
      <c r="Z9" s="1"/>
      <c r="AA9" s="1"/>
    </row>
    <row r="10" spans="2:28" ht="21" customHeight="1" x14ac:dyDescent="0.25">
      <c r="B10" s="157">
        <v>5</v>
      </c>
      <c r="C10" s="33"/>
      <c r="D10" s="26">
        <v>45412</v>
      </c>
      <c r="E10" s="32" t="s">
        <v>75</v>
      </c>
      <c r="F10" s="55" t="e">
        <f>IF(#REF!="CASA",CONCATENATE("C:\Users\studi\Google Drive\CONTABILITA'\2020\Fatture\",E10," Trimestre\",C10,".pdf"),CONCATENATE("C:\Users\Sebastiano\Google Drive\CONTABILITA'\2020\Fatture\",E10," Trimestre\",C10,".pdf"))</f>
        <v>#REF!</v>
      </c>
      <c r="G10" s="26"/>
      <c r="H10" s="48" t="s">
        <v>27</v>
      </c>
      <c r="I10" s="24">
        <v>2900</v>
      </c>
      <c r="J10" s="57">
        <v>0</v>
      </c>
      <c r="K10" s="57">
        <f t="shared" ref="K10:K16" si="2">IF(N10="x",0,0.04*(L10+I10))</f>
        <v>0</v>
      </c>
      <c r="L10" s="57">
        <v>2</v>
      </c>
      <c r="M10" s="58">
        <f t="shared" ref="M10:M17" si="3">I10+K10+L10</f>
        <v>2902</v>
      </c>
      <c r="N10" s="62" t="s">
        <v>22</v>
      </c>
      <c r="O10" s="39"/>
      <c r="P10" s="39"/>
      <c r="Q10" s="59"/>
      <c r="R10" s="59"/>
      <c r="S10" s="161">
        <f>55+1.3+2.9+0.35+2+0.7+5-2.15</f>
        <v>65.099999999999994</v>
      </c>
      <c r="T10" s="41"/>
      <c r="U10" s="80"/>
      <c r="V10" s="39"/>
      <c r="W10" s="82"/>
      <c r="X10" s="53"/>
      <c r="Y10" s="39"/>
      <c r="Z10" s="1"/>
      <c r="AA10" s="1"/>
    </row>
    <row r="11" spans="2:28" ht="21" customHeight="1" x14ac:dyDescent="0.25">
      <c r="B11" s="157">
        <v>6</v>
      </c>
      <c r="C11" s="33"/>
      <c r="D11" s="26">
        <v>45443</v>
      </c>
      <c r="E11" s="32" t="s">
        <v>76</v>
      </c>
      <c r="F11" s="55" t="e">
        <f>IF(#REF!="CASA",CONCATENATE("C:\Users\studi\Google Drive\CONTABILITA'\2020\Fatture\",E11," Trimestre\",C11,".pdf"),CONCATENATE("C:\Users\Sebastiano\Google Drive\CONTABILITA'\2020\Fatture\",E11," Trimestre\",C11,".pdf"))</f>
        <v>#REF!</v>
      </c>
      <c r="G11" s="26"/>
      <c r="H11" s="48" t="s">
        <v>27</v>
      </c>
      <c r="I11" s="24">
        <v>2900</v>
      </c>
      <c r="J11" s="57">
        <v>0</v>
      </c>
      <c r="K11" s="57">
        <f t="shared" si="2"/>
        <v>0</v>
      </c>
      <c r="L11" s="57">
        <v>2</v>
      </c>
      <c r="M11" s="58">
        <f t="shared" si="3"/>
        <v>2902</v>
      </c>
      <c r="N11" s="62" t="s">
        <v>22</v>
      </c>
      <c r="O11" s="39"/>
      <c r="P11" s="39"/>
      <c r="Q11" s="59"/>
      <c r="R11" s="59"/>
      <c r="S11" s="59"/>
      <c r="T11" s="41"/>
      <c r="U11" s="80"/>
      <c r="V11" s="39"/>
      <c r="W11" s="82"/>
      <c r="X11" s="53"/>
      <c r="Y11" s="39"/>
      <c r="Z11" s="1"/>
      <c r="AA11" s="1"/>
    </row>
    <row r="12" spans="2:28" ht="21" customHeight="1" x14ac:dyDescent="0.25">
      <c r="B12" s="157">
        <v>7</v>
      </c>
      <c r="C12" s="33"/>
      <c r="D12" s="26">
        <v>45473</v>
      </c>
      <c r="E12" s="32" t="s">
        <v>77</v>
      </c>
      <c r="F12" s="55" t="e">
        <f>IF(#REF!="CASA",CONCATENATE("C:\Users\studi\Google Drive\CONTABILITA'\2020\Fatture\",E12," Trimestre\",C12,".pdf"),CONCATENATE("C:\Users\Sebastiano\Google Drive\CONTABILITA'\2020\Fatture\",E12," Trimestre\",C12,".pdf"))</f>
        <v>#REF!</v>
      </c>
      <c r="G12" s="26"/>
      <c r="H12" s="48" t="s">
        <v>27</v>
      </c>
      <c r="I12" s="95">
        <v>2900</v>
      </c>
      <c r="J12" s="57">
        <v>0</v>
      </c>
      <c r="K12" s="96">
        <f t="shared" si="2"/>
        <v>116.08</v>
      </c>
      <c r="L12" s="57">
        <v>2</v>
      </c>
      <c r="M12" s="58">
        <f t="shared" si="3"/>
        <v>3018.08</v>
      </c>
      <c r="N12" s="62"/>
      <c r="O12" s="61">
        <f>M12-M11</f>
        <v>116.07999999999993</v>
      </c>
      <c r="P12" s="39"/>
      <c r="Q12" s="3" t="s">
        <v>31</v>
      </c>
      <c r="R12" s="3"/>
      <c r="S12" s="18">
        <v>0.78</v>
      </c>
      <c r="T12" s="39"/>
      <c r="U12" s="59"/>
      <c r="V12" s="59"/>
      <c r="W12" s="41"/>
      <c r="X12" s="80"/>
      <c r="Y12" s="39"/>
      <c r="Z12" s="82"/>
      <c r="AA12" s="53"/>
      <c r="AB12" s="39"/>
    </row>
    <row r="13" spans="2:28" ht="21" customHeight="1" x14ac:dyDescent="0.25">
      <c r="B13" s="157">
        <v>8</v>
      </c>
      <c r="C13" s="33"/>
      <c r="D13" s="26">
        <v>45504</v>
      </c>
      <c r="E13" s="32" t="s">
        <v>78</v>
      </c>
      <c r="F13" s="55" t="e">
        <f>IF(#REF!="CASA",CONCATENATE("C:\Users\studi\Google Drive\CONTABILITA'\2020\Fatture\",E13," Trimestre\",C13,".pdf"),CONCATENATE("C:\Users\Sebastiano\Google Drive\CONTABILITA'\2020\Fatture\",E13," Trimestre\",C13,".pdf"))</f>
        <v>#REF!</v>
      </c>
      <c r="G13" s="26"/>
      <c r="H13" s="48" t="s">
        <v>27</v>
      </c>
      <c r="I13" s="95">
        <v>2900</v>
      </c>
      <c r="J13" s="57">
        <v>0</v>
      </c>
      <c r="K13" s="96">
        <f t="shared" si="2"/>
        <v>116.08</v>
      </c>
      <c r="L13" s="57">
        <v>2</v>
      </c>
      <c r="M13" s="58">
        <f t="shared" si="3"/>
        <v>3018.08</v>
      </c>
      <c r="N13" s="62"/>
      <c r="O13" s="39"/>
      <c r="P13" s="39"/>
      <c r="Q13" s="41"/>
      <c r="R13" s="41"/>
      <c r="S13" s="18"/>
      <c r="T13" s="17"/>
      <c r="U13" s="59"/>
      <c r="V13" s="59"/>
      <c r="W13" s="41"/>
      <c r="X13" s="80"/>
      <c r="Y13" s="39"/>
      <c r="Z13" s="82"/>
      <c r="AA13" s="53"/>
      <c r="AB13" s="39"/>
    </row>
    <row r="14" spans="2:28" ht="21" customHeight="1" x14ac:dyDescent="0.25">
      <c r="B14" s="157">
        <v>9</v>
      </c>
      <c r="C14" s="33"/>
      <c r="D14" s="26">
        <v>45535</v>
      </c>
      <c r="E14" s="32" t="s">
        <v>79</v>
      </c>
      <c r="F14" s="55" t="e">
        <f>IF(#REF!="CASA",CONCATENATE("C:\Users\studi\Google Drive\CONTABILITA'\2020\Fatture\",E14," Trimestre\",C14,".pdf"),CONCATENATE("C:\Users\Sebastiano\Google Drive\CONTABILITA'\2020\Fatture\",E14," Trimestre\",C14,".pdf"))</f>
        <v>#REF!</v>
      </c>
      <c r="G14" s="26"/>
      <c r="H14" s="48" t="s">
        <v>27</v>
      </c>
      <c r="I14" s="95">
        <v>2900</v>
      </c>
      <c r="J14" s="57">
        <v>0</v>
      </c>
      <c r="K14" s="96">
        <f t="shared" si="2"/>
        <v>116.08</v>
      </c>
      <c r="L14" s="57">
        <v>2</v>
      </c>
      <c r="M14" s="58">
        <f t="shared" si="3"/>
        <v>3018.08</v>
      </c>
      <c r="N14" s="62"/>
      <c r="O14" s="39"/>
      <c r="P14" s="39"/>
      <c r="Q14" s="17" t="s">
        <v>32</v>
      </c>
      <c r="R14" s="17"/>
      <c r="S14" s="62"/>
      <c r="T14" s="3"/>
      <c r="U14" s="59"/>
      <c r="V14" s="59"/>
      <c r="W14" s="41"/>
      <c r="X14" s="80"/>
      <c r="Y14" s="39"/>
      <c r="Z14" s="82"/>
      <c r="AA14" s="53"/>
      <c r="AB14" s="39"/>
    </row>
    <row r="15" spans="2:28" ht="21" customHeight="1" x14ac:dyDescent="0.25">
      <c r="B15" s="157">
        <v>10</v>
      </c>
      <c r="C15" s="33"/>
      <c r="D15" s="26">
        <v>45565</v>
      </c>
      <c r="E15" s="32" t="s">
        <v>80</v>
      </c>
      <c r="F15" s="55" t="e">
        <f>IF(#REF!="CASA",CONCATENATE("C:\Users\studi\Google Drive\CONTABILITA'\2020\Fatture\",E15," Trimestre\",C15,".pdf"),CONCATENATE("C:\Users\Sebastiano\Google Drive\CONTABILITA'\2020\Fatture\",E15," Trimestre\",C15,".pdf"))</f>
        <v>#REF!</v>
      </c>
      <c r="G15" s="26"/>
      <c r="H15" s="48" t="s">
        <v>27</v>
      </c>
      <c r="I15" s="95">
        <f>2900+27.2*2+13.6</f>
        <v>2968</v>
      </c>
      <c r="J15" s="57">
        <v>0</v>
      </c>
      <c r="K15" s="96">
        <f>IF(N15="x",0,0.04*(L15+I15))</f>
        <v>118.8</v>
      </c>
      <c r="L15" s="57">
        <v>2</v>
      </c>
      <c r="M15" s="58">
        <f t="shared" si="3"/>
        <v>3088.8</v>
      </c>
      <c r="N15" s="62"/>
      <c r="O15" s="39"/>
      <c r="P15" s="36" t="s">
        <v>33</v>
      </c>
      <c r="Q15" s="62">
        <f>I26</f>
        <v>42497</v>
      </c>
      <c r="R15" s="62"/>
      <c r="S15" s="62"/>
      <c r="T15" s="36"/>
      <c r="U15" s="59"/>
      <c r="V15" s="41"/>
      <c r="W15" s="63"/>
      <c r="X15" s="63"/>
      <c r="Y15" s="39"/>
      <c r="Z15" s="82"/>
      <c r="AA15" s="53"/>
      <c r="AB15" s="39"/>
    </row>
    <row r="16" spans="2:28" ht="21" customHeight="1" x14ac:dyDescent="0.25">
      <c r="B16" s="157">
        <v>11</v>
      </c>
      <c r="C16" s="33"/>
      <c r="D16" s="26">
        <v>45567</v>
      </c>
      <c r="E16" s="32"/>
      <c r="F16" s="55" t="e">
        <f>IF(#REF!="CASA",CONCATENATE("C:\Users\studi\Google Drive\CONTABILITA'\2020\Fatture\",E16," Trimestre\",C16,".pdf"),CONCATENATE("C:\Users\Sebastiano\Google Drive\CONTABILITA'\2020\Fatture\",E16," Trimestre\",C16,".pdf"))</f>
        <v>#REF!</v>
      </c>
      <c r="G16" s="26"/>
      <c r="H16" s="48" t="s">
        <v>103</v>
      </c>
      <c r="I16" s="24">
        <v>350</v>
      </c>
      <c r="J16" s="57">
        <v>0</v>
      </c>
      <c r="K16" s="57">
        <f t="shared" si="2"/>
        <v>14.08</v>
      </c>
      <c r="L16" s="57">
        <v>2</v>
      </c>
      <c r="M16" s="58">
        <f t="shared" si="3"/>
        <v>366.08</v>
      </c>
      <c r="N16" s="62"/>
      <c r="O16" s="39"/>
      <c r="P16" s="39" t="s">
        <v>35</v>
      </c>
      <c r="Q16" s="62">
        <f>Q15+SUM(L5:L24)</f>
        <v>42533</v>
      </c>
      <c r="R16" s="62"/>
      <c r="S16" s="62"/>
      <c r="T16" s="36"/>
      <c r="U16" s="59"/>
      <c r="V16" s="41"/>
      <c r="W16" s="63"/>
      <c r="X16" s="63"/>
      <c r="Y16" s="39"/>
      <c r="Z16" s="41"/>
      <c r="AA16" s="53"/>
      <c r="AB16" s="39"/>
    </row>
    <row r="17" spans="2:28" ht="21" customHeight="1" x14ac:dyDescent="0.25">
      <c r="B17" s="157">
        <v>12</v>
      </c>
      <c r="C17" s="33"/>
      <c r="D17" s="26">
        <v>45580</v>
      </c>
      <c r="E17" s="32"/>
      <c r="F17" s="55" t="e">
        <f>IF(#REF!="CASA",CONCATENATE("C:\Users\studi\Google Drive\CONTABILITA'\2020\Fatture\",E17," Trimestre\",C17,".pdf"),CONCATENATE("C:\Users\Sebastiano\Google Drive\CONTABILITA'\2020\Fatture\",E17," Trimestre\",C17,".pdf"))</f>
        <v>#REF!</v>
      </c>
      <c r="G17" s="26"/>
      <c r="H17" s="48" t="s">
        <v>102</v>
      </c>
      <c r="I17" s="24">
        <v>2000</v>
      </c>
      <c r="J17" s="57">
        <v>0</v>
      </c>
      <c r="K17" s="57">
        <f>IF(N17="x",0,0.04*(L17+I17))</f>
        <v>80.08</v>
      </c>
      <c r="L17" s="57">
        <v>2</v>
      </c>
      <c r="M17" s="58">
        <f t="shared" si="3"/>
        <v>2082.08</v>
      </c>
      <c r="N17" s="62"/>
      <c r="O17" s="39"/>
      <c r="P17" s="36" t="s">
        <v>37</v>
      </c>
      <c r="Q17" s="62"/>
      <c r="R17" s="62">
        <f>R18/0.78</f>
        <v>37924.358974358976</v>
      </c>
      <c r="S17" s="62" t="s">
        <v>95</v>
      </c>
      <c r="T17" s="36"/>
      <c r="U17" s="41"/>
      <c r="V17" s="41"/>
      <c r="W17" s="63"/>
      <c r="X17" s="63"/>
      <c r="Y17" s="39"/>
      <c r="Z17" s="41"/>
      <c r="AA17" s="41"/>
      <c r="AB17" s="39"/>
    </row>
    <row r="18" spans="2:28" ht="21" customHeight="1" x14ac:dyDescent="0.25">
      <c r="B18" s="157">
        <v>13</v>
      </c>
      <c r="C18" s="33"/>
      <c r="D18" s="26">
        <v>45626</v>
      </c>
      <c r="E18" s="32" t="s">
        <v>81</v>
      </c>
      <c r="F18" s="55" t="e">
        <f>IF(#REF!="CASA",CONCATENATE("C:\Users\studi\Google Drive\CONTABILITA'\2020\Fatture\",E18," Trimestre\",C18,".pdf"),CONCATENATE("C:\Users\Sebastiano\Google Drive\CONTABILITA'\2020\Fatture\",E18," Trimestre\",C18,".pdf"))</f>
        <v>#REF!</v>
      </c>
      <c r="G18" s="26"/>
      <c r="H18" s="48" t="s">
        <v>27</v>
      </c>
      <c r="I18" s="95">
        <f>2900+25.5+25.5</f>
        <v>2951</v>
      </c>
      <c r="J18" s="57">
        <v>0</v>
      </c>
      <c r="K18" s="96">
        <f t="shared" ref="K18:K19" si="4">IF(N18="x",0,0.04*(L18+I18))</f>
        <v>118.12</v>
      </c>
      <c r="L18" s="57">
        <v>2</v>
      </c>
      <c r="M18" s="58">
        <f>I18+K18+L18</f>
        <v>3071.12</v>
      </c>
      <c r="N18" s="62"/>
      <c r="O18" s="39"/>
      <c r="P18" s="36" t="s">
        <v>38</v>
      </c>
      <c r="Q18" s="62">
        <f>0.78*Q16</f>
        <v>33175.74</v>
      </c>
      <c r="R18" s="62">
        <v>29581</v>
      </c>
      <c r="S18" s="164">
        <v>39000</v>
      </c>
      <c r="T18" s="128" t="s">
        <v>64</v>
      </c>
      <c r="U18" s="128" t="s">
        <v>66</v>
      </c>
      <c r="V18" s="41"/>
      <c r="W18" s="63"/>
      <c r="X18" s="63"/>
      <c r="Y18" s="39"/>
      <c r="Z18" s="41"/>
      <c r="AA18" s="41"/>
      <c r="AB18" s="39"/>
    </row>
    <row r="19" spans="2:28" ht="21" customHeight="1" x14ac:dyDescent="0.25">
      <c r="B19" s="157">
        <v>14</v>
      </c>
      <c r="C19" s="33"/>
      <c r="D19" s="26">
        <v>45596</v>
      </c>
      <c r="E19" s="32" t="s">
        <v>82</v>
      </c>
      <c r="F19" s="55" t="e">
        <f>IF(#REF!="CASA",CONCATENATE("C:\Users\studi\Google Drive\CONTABILITA'\2020\Fatture\",E19," Trimestre\",C19,".pdf"),CONCATENATE("C:\Users\Sebastiano\Google Drive\CONTABILITA'\2020\Fatture\",E19," Trimestre\",C19,".pdf"))</f>
        <v>#REF!</v>
      </c>
      <c r="G19" s="26"/>
      <c r="H19" s="48" t="s">
        <v>120</v>
      </c>
      <c r="I19" s="24">
        <v>1280</v>
      </c>
      <c r="J19" s="57">
        <v>0</v>
      </c>
      <c r="K19" s="57">
        <f t="shared" si="4"/>
        <v>51.28</v>
      </c>
      <c r="L19" s="57">
        <v>2</v>
      </c>
      <c r="M19" s="58">
        <f>I19+K19+L19</f>
        <v>1333.28</v>
      </c>
      <c r="N19" s="62"/>
      <c r="O19" s="39"/>
      <c r="P19" s="36" t="s">
        <v>39</v>
      </c>
      <c r="Q19" s="4">
        <f>0.15*(Q18-Q25)</f>
        <v>4454.0488274999998</v>
      </c>
      <c r="R19" s="180">
        <f>0.15*(R18-Q25)</f>
        <v>3914.8378275</v>
      </c>
      <c r="S19" s="41" t="s">
        <v>96</v>
      </c>
      <c r="T19" s="53">
        <f>1854+2148.2</f>
        <v>4002.2</v>
      </c>
      <c r="U19" s="181">
        <v>0</v>
      </c>
      <c r="V19" s="41"/>
      <c r="W19" s="63"/>
      <c r="X19" s="63"/>
      <c r="Y19" s="39"/>
      <c r="Z19" s="41"/>
      <c r="AA19" s="41"/>
      <c r="AB19" s="39"/>
    </row>
    <row r="20" spans="2:28" ht="21" customHeight="1" x14ac:dyDescent="0.25">
      <c r="B20" s="157">
        <v>15</v>
      </c>
      <c r="C20" s="33"/>
      <c r="D20" s="26">
        <v>45626</v>
      </c>
      <c r="E20" s="32" t="s">
        <v>82</v>
      </c>
      <c r="F20" s="55" t="e">
        <f>IF(#REF!="CASA",CONCATENATE("C:\Users\studi\Google Drive\CONTABILITA'\2020\Fatture\",E20," Trimestre\",C20,".pdf"),CONCATENATE("C:\Users\Sebastiano\Google Drive\CONTABILITA'\2020\Fatture\",E20," Trimestre\",C20,".pdf"))</f>
        <v>#REF!</v>
      </c>
      <c r="G20" s="26"/>
      <c r="H20" s="48" t="s">
        <v>27</v>
      </c>
      <c r="I20" s="95">
        <v>2900</v>
      </c>
      <c r="J20" s="57">
        <v>0</v>
      </c>
      <c r="K20" s="96">
        <f t="shared" ref="K20:K21" si="5">IF(N20="x",0,0.04*(L20+I20))</f>
        <v>116.08</v>
      </c>
      <c r="L20" s="57">
        <v>2</v>
      </c>
      <c r="M20" s="58">
        <f t="shared" ref="M20:M22" si="6">I20+K20+L20</f>
        <v>3018.08</v>
      </c>
      <c r="N20" s="62"/>
      <c r="O20" s="39"/>
      <c r="P20" s="65"/>
      <c r="Q20" s="18"/>
      <c r="R20" s="18"/>
      <c r="S20" s="63">
        <f>(S18-Q18)/0.78</f>
        <v>7467.0000000000027</v>
      </c>
      <c r="T20" s="39"/>
      <c r="U20" s="41"/>
      <c r="V20" s="41"/>
      <c r="W20" s="41"/>
      <c r="X20" s="39"/>
      <c r="Y20" s="39"/>
      <c r="Z20" s="41"/>
      <c r="AA20" s="41"/>
      <c r="AB20" s="39"/>
    </row>
    <row r="21" spans="2:28" ht="21" customHeight="1" x14ac:dyDescent="0.25">
      <c r="B21" s="157">
        <v>16</v>
      </c>
      <c r="C21" s="33"/>
      <c r="D21" s="26">
        <v>45638</v>
      </c>
      <c r="E21" s="32"/>
      <c r="F21" s="55" t="e">
        <f>IF(#REF!="CASA",CONCATENATE("C:\Users\studi\Google Drive\CONTABILITA'\2020\Fatture\",E21," Trimestre\",C21,".pdf"),CONCATENATE("C:\Users\Sebastiano\Google Drive\CONTABILITA'\2020\Fatture\",E21," Trimestre\",C21,".pdf"))</f>
        <v>#REF!</v>
      </c>
      <c r="G21" s="26"/>
      <c r="H21" s="48" t="s">
        <v>103</v>
      </c>
      <c r="I21" s="24">
        <v>450</v>
      </c>
      <c r="J21" s="57">
        <v>0</v>
      </c>
      <c r="K21" s="57">
        <f t="shared" si="5"/>
        <v>18.080000000000002</v>
      </c>
      <c r="L21" s="57">
        <v>2</v>
      </c>
      <c r="M21" s="58">
        <f t="shared" si="6"/>
        <v>470.08</v>
      </c>
      <c r="N21" s="62"/>
      <c r="O21" s="39"/>
      <c r="P21" s="3" t="s">
        <v>40</v>
      </c>
      <c r="Q21" s="39"/>
      <c r="R21" s="39"/>
      <c r="S21" s="41" t="s">
        <v>97</v>
      </c>
      <c r="T21" s="128" t="s">
        <v>64</v>
      </c>
      <c r="U21" s="128" t="s">
        <v>66</v>
      </c>
      <c r="V21" s="41"/>
      <c r="W21" s="41"/>
      <c r="X21" s="39"/>
      <c r="Y21" s="39"/>
      <c r="Z21" s="41"/>
      <c r="AA21" s="41"/>
      <c r="AB21" s="39"/>
    </row>
    <row r="22" spans="2:28" ht="21" customHeight="1" x14ac:dyDescent="0.25">
      <c r="B22" s="26"/>
      <c r="C22" s="31"/>
      <c r="D22" s="32"/>
      <c r="E22" s="32"/>
      <c r="F22" s="55"/>
      <c r="G22" s="26"/>
      <c r="H22" s="48" t="s">
        <v>121</v>
      </c>
      <c r="I22" s="24">
        <f>48+1950</f>
        <v>1998</v>
      </c>
      <c r="J22" s="57">
        <v>0</v>
      </c>
      <c r="K22" s="57">
        <f>IF(N22="x",0,0.04*(L22+I22))</f>
        <v>80</v>
      </c>
      <c r="L22" s="57">
        <v>2</v>
      </c>
      <c r="M22" s="58">
        <f t="shared" si="6"/>
        <v>2080</v>
      </c>
      <c r="N22" s="62"/>
      <c r="O22" s="39"/>
      <c r="P22" s="66" t="s">
        <v>41</v>
      </c>
      <c r="Q22" s="67">
        <f>MAX(780,0.0725*Q18)*IF(S22="Sì",1,2)</f>
        <v>2405.2411499999998</v>
      </c>
      <c r="R22" s="62"/>
      <c r="S22" s="2" t="str">
        <f>IF(S20&gt;0,"Sì","No")</f>
        <v>Sì</v>
      </c>
      <c r="T22" s="53">
        <v>615</v>
      </c>
      <c r="U22" s="129">
        <f>Q22-T22</f>
        <v>1790.2411499999998</v>
      </c>
      <c r="V22" s="41"/>
      <c r="W22" s="41"/>
      <c r="X22" s="39"/>
      <c r="Y22" s="39"/>
      <c r="Z22" s="41"/>
      <c r="AA22" s="41"/>
      <c r="AB22" s="39"/>
    </row>
    <row r="23" spans="2:28" ht="21" customHeight="1" x14ac:dyDescent="0.25">
      <c r="B23" s="26"/>
      <c r="C23" s="31"/>
      <c r="D23" s="32"/>
      <c r="E23" s="32"/>
      <c r="F23" s="55"/>
      <c r="G23" s="26"/>
      <c r="H23" s="48"/>
      <c r="I23" s="24"/>
      <c r="J23" s="60"/>
      <c r="K23" s="60"/>
      <c r="L23" s="60"/>
      <c r="M23" s="58"/>
      <c r="N23" s="62"/>
      <c r="O23" s="39"/>
      <c r="P23" s="36" t="s">
        <v>42</v>
      </c>
      <c r="Q23" s="62">
        <f>MAX(231.5,K25)</f>
        <v>1004.8400000000001</v>
      </c>
      <c r="R23" s="62"/>
      <c r="S23" s="62"/>
      <c r="T23" s="53">
        <v>627</v>
      </c>
      <c r="U23" s="129">
        <f>Q23-T23</f>
        <v>377.84000000000015</v>
      </c>
      <c r="V23" s="41"/>
      <c r="W23" s="41"/>
      <c r="X23" s="39"/>
      <c r="Y23" s="39"/>
      <c r="Z23" s="41"/>
      <c r="AA23" s="41"/>
      <c r="AB23" s="39"/>
    </row>
    <row r="24" spans="2:28" ht="21" customHeight="1" x14ac:dyDescent="0.25">
      <c r="B24" s="29"/>
      <c r="C24" s="34"/>
      <c r="D24" s="35"/>
      <c r="E24" s="35"/>
      <c r="F24" s="69"/>
      <c r="G24" s="29"/>
      <c r="H24" s="72"/>
      <c r="I24" s="25"/>
      <c r="J24" s="73"/>
      <c r="K24" s="73"/>
      <c r="L24" s="73"/>
      <c r="M24" s="74"/>
      <c r="N24" s="62"/>
      <c r="O24" s="39"/>
      <c r="P24" s="36" t="s">
        <v>43</v>
      </c>
      <c r="Q24" s="62">
        <v>72</v>
      </c>
      <c r="R24" s="62"/>
      <c r="S24" s="4"/>
      <c r="T24" s="4">
        <f>1506.76+733.34</f>
        <v>2240.1</v>
      </c>
      <c r="U24" s="129">
        <f>Q24-T24</f>
        <v>-2168.1</v>
      </c>
      <c r="V24" s="41"/>
      <c r="W24" s="41"/>
      <c r="X24" s="39"/>
      <c r="Y24" s="39"/>
      <c r="Z24" s="41"/>
      <c r="AA24" s="41"/>
      <c r="AB24" s="39"/>
    </row>
    <row r="25" spans="2:28" ht="24.95" customHeight="1" x14ac:dyDescent="0.25">
      <c r="B25" s="39"/>
      <c r="C25" s="41"/>
      <c r="D25" s="41"/>
      <c r="E25" s="41"/>
      <c r="F25" s="41"/>
      <c r="G25" s="39"/>
      <c r="H25" s="39" t="s">
        <v>44</v>
      </c>
      <c r="I25" s="75">
        <f>SUBTOTAL(9,I5:I24)</f>
        <v>42497</v>
      </c>
      <c r="J25" s="76"/>
      <c r="K25" s="75">
        <f>SUBTOTAL(9,K5:K24)</f>
        <v>1004.8400000000001</v>
      </c>
      <c r="L25" s="12" t="s">
        <v>45</v>
      </c>
      <c r="M25" s="11">
        <f>SUBTOTAL(9,M5:M24)</f>
        <v>43537.840000000011</v>
      </c>
      <c r="N25" s="4"/>
      <c r="O25" s="39"/>
      <c r="P25" s="39"/>
      <c r="Q25" s="4">
        <f>SUM(Q22:Q24)</f>
        <v>3482.08115</v>
      </c>
      <c r="R25" s="4"/>
      <c r="S25" s="41"/>
      <c r="T25" s="4">
        <f>SUM(T22:T24)</f>
        <v>3482.1</v>
      </c>
      <c r="U25" s="4">
        <f>SUM(U22:U24)</f>
        <v>-1.8849999999929423E-2</v>
      </c>
      <c r="V25" s="41"/>
      <c r="W25" s="41"/>
      <c r="X25" s="39"/>
      <c r="Y25" s="39"/>
      <c r="Z25" s="41"/>
      <c r="AA25" s="41"/>
      <c r="AB25" s="39"/>
    </row>
    <row r="26" spans="2:28" ht="24.95" customHeight="1" x14ac:dyDescent="0.25">
      <c r="B26" s="39"/>
      <c r="C26" s="41"/>
      <c r="D26" s="41"/>
      <c r="E26" s="41"/>
      <c r="F26" s="19"/>
      <c r="G26" s="39"/>
      <c r="H26" s="39" t="s">
        <v>46</v>
      </c>
      <c r="I26" s="77">
        <f>SUM(I5:I24)</f>
        <v>42497</v>
      </c>
      <c r="J26" s="61"/>
      <c r="K26" s="41"/>
      <c r="L26" s="39"/>
      <c r="M26" s="39"/>
      <c r="N26" s="39"/>
      <c r="O26" s="39"/>
      <c r="Q26" s="1"/>
      <c r="R26" s="1"/>
      <c r="S26" s="1"/>
      <c r="U26" s="41"/>
      <c r="V26" s="41"/>
      <c r="W26" s="41"/>
      <c r="X26" s="39"/>
      <c r="Y26" s="39"/>
      <c r="Z26" s="41"/>
      <c r="AA26" s="41"/>
      <c r="AB26" s="39"/>
    </row>
    <row r="27" spans="2:28" ht="24.95" customHeight="1" x14ac:dyDescent="0.25">
      <c r="B27" s="39"/>
      <c r="C27" s="41"/>
      <c r="D27" s="41"/>
      <c r="E27" s="41"/>
      <c r="F27" s="41"/>
      <c r="G27" s="39"/>
      <c r="H27" s="39"/>
      <c r="I27" s="78"/>
      <c r="J27" s="61"/>
      <c r="K27" s="41"/>
      <c r="L27" s="39"/>
      <c r="M27" s="39"/>
      <c r="N27" s="39"/>
      <c r="O27" s="39"/>
      <c r="P27" s="38"/>
      <c r="Q27" s="51">
        <f>(M25-Q28)/M25</f>
        <v>0.16989632415158851</v>
      </c>
      <c r="R27" s="51"/>
      <c r="S27" s="171">
        <f>1-(I25-R19-Q22-Q24)/I25</f>
        <v>0.15041247564533966</v>
      </c>
      <c r="T27" s="83"/>
      <c r="U27" s="53"/>
      <c r="V27" s="41"/>
      <c r="W27" s="41"/>
      <c r="X27" s="39"/>
      <c r="Y27" s="39"/>
      <c r="Z27" s="41"/>
      <c r="AA27" s="41"/>
      <c r="AB27" s="39"/>
    </row>
    <row r="28" spans="2:28" ht="24.95" customHeight="1" x14ac:dyDescent="0.25">
      <c r="B28" s="39"/>
      <c r="C28" s="41"/>
      <c r="D28" s="41"/>
      <c r="E28" s="41"/>
      <c r="F28" s="41"/>
      <c r="G28" s="39"/>
      <c r="H28" s="39"/>
      <c r="I28" s="39"/>
      <c r="J28" s="39"/>
      <c r="K28" s="39"/>
      <c r="L28" s="41"/>
      <c r="M28" s="39"/>
      <c r="N28" s="39"/>
      <c r="O28" s="79"/>
      <c r="P28" s="46" t="s">
        <v>56</v>
      </c>
      <c r="Q28" s="47">
        <f>M25-R19-Q25</f>
        <v>36140.921022500013</v>
      </c>
      <c r="R28" s="50"/>
      <c r="S28" s="62"/>
      <c r="T28" s="39"/>
      <c r="U28" s="53"/>
      <c r="V28" s="41"/>
      <c r="W28" s="41"/>
      <c r="X28" s="39"/>
      <c r="Y28" s="39"/>
      <c r="Z28" s="41"/>
      <c r="AA28" s="41"/>
      <c r="AB28" s="39"/>
    </row>
    <row r="29" spans="2:28" ht="24.95" customHeight="1" thickBot="1" x14ac:dyDescent="0.3">
      <c r="B29" s="39"/>
      <c r="C29" s="41"/>
      <c r="D29" s="41"/>
      <c r="E29" s="41"/>
      <c r="F29" s="41"/>
      <c r="G29" s="39"/>
      <c r="H29" s="39"/>
      <c r="I29" s="39"/>
      <c r="J29" s="39"/>
      <c r="K29" s="39"/>
      <c r="L29" s="41"/>
      <c r="M29" s="50"/>
      <c r="N29" s="50"/>
      <c r="O29" s="50"/>
      <c r="P29" s="39"/>
      <c r="Q29" s="41"/>
      <c r="R29" s="41"/>
      <c r="S29" s="41"/>
      <c r="V29" s="41"/>
      <c r="W29" s="41"/>
      <c r="X29" s="39"/>
      <c r="Y29" s="39"/>
      <c r="Z29" s="41"/>
      <c r="AA29" s="41"/>
      <c r="AB29" s="39"/>
    </row>
    <row r="30" spans="2:28" ht="24.95" customHeight="1" thickBot="1" x14ac:dyDescent="0.3">
      <c r="B30" s="39"/>
      <c r="C30" s="41"/>
      <c r="D30" s="41"/>
      <c r="E30" s="41"/>
      <c r="F30" s="41"/>
      <c r="G30" s="39"/>
      <c r="H30" s="39"/>
      <c r="I30" s="39"/>
      <c r="J30" s="39"/>
      <c r="K30" s="39"/>
      <c r="L30" s="41"/>
      <c r="M30" s="39"/>
      <c r="N30" s="39"/>
      <c r="O30" s="39"/>
      <c r="P30" s="46" t="s">
        <v>57</v>
      </c>
      <c r="Q30" s="47">
        <f>Q28/12</f>
        <v>3011.7434185416678</v>
      </c>
      <c r="R30" s="50"/>
      <c r="S30" s="41"/>
      <c r="T30" s="166" t="s">
        <v>109</v>
      </c>
      <c r="U30" s="165">
        <f>U25+U19</f>
        <v>-1.8849999999929423E-2</v>
      </c>
      <c r="V30" s="82">
        <f ca="1">SUMIFS(M5:M19,D5:D19,"&lt;"&amp;TODAY())/M25*(Q19+Q25)-T25-T19</f>
        <v>-563.14094194654126</v>
      </c>
      <c r="W30" s="41"/>
      <c r="X30" s="39"/>
      <c r="Y30" s="39"/>
      <c r="Z30" s="41"/>
      <c r="AA30" s="41"/>
      <c r="AB30" s="39"/>
    </row>
    <row r="31" spans="2:28" ht="24.95" customHeight="1" thickBot="1" x14ac:dyDescent="0.3">
      <c r="B31" s="39"/>
      <c r="C31" s="41"/>
      <c r="D31" s="41"/>
      <c r="E31" s="41"/>
      <c r="F31" s="41"/>
      <c r="G31" s="39"/>
      <c r="H31" s="39"/>
      <c r="I31" s="39"/>
      <c r="J31" s="39"/>
      <c r="K31" s="39"/>
      <c r="L31" s="41"/>
      <c r="M31" s="39"/>
      <c r="N31" s="39"/>
      <c r="O31" s="39"/>
      <c r="P31" s="46" t="s">
        <v>94</v>
      </c>
      <c r="Q31" s="47">
        <f>Q30/13*12</f>
        <v>2780.0708478846163</v>
      </c>
      <c r="R31" s="50"/>
      <c r="S31" s="41"/>
      <c r="T31" s="166" t="s">
        <v>108</v>
      </c>
      <c r="U31" s="165">
        <f>'2023 reale'!T31</f>
        <v>0</v>
      </c>
      <c r="V31" s="170">
        <f ca="1">U31+V30</f>
        <v>-563.14094194654126</v>
      </c>
      <c r="W31" s="41"/>
      <c r="X31" s="39"/>
      <c r="Y31" s="39"/>
      <c r="Z31" s="41"/>
      <c r="AA31" s="41"/>
      <c r="AB31" s="39"/>
    </row>
    <row r="32" spans="2:28" ht="24.95" customHeight="1" x14ac:dyDescent="0.25">
      <c r="B32" s="39"/>
      <c r="C32" s="41"/>
      <c r="D32" s="41"/>
      <c r="E32" s="41"/>
      <c r="F32" s="41"/>
      <c r="G32" s="39"/>
      <c r="H32" s="39"/>
      <c r="I32" s="39"/>
      <c r="J32" s="39"/>
      <c r="K32" s="39"/>
      <c r="L32" s="41"/>
      <c r="M32" s="39"/>
      <c r="N32" s="39"/>
      <c r="O32" s="39"/>
      <c r="P32" s="39"/>
      <c r="Q32" s="39"/>
      <c r="R32" s="39"/>
      <c r="S32" s="1"/>
      <c r="U32" s="41"/>
      <c r="V32" s="41"/>
      <c r="W32" s="41"/>
      <c r="X32" s="39"/>
      <c r="Y32" s="39"/>
      <c r="Z32" s="41"/>
      <c r="AA32" s="41"/>
      <c r="AB32" s="39"/>
    </row>
    <row r="33" spans="7:11" ht="24.95" customHeight="1" x14ac:dyDescent="0.25">
      <c r="G33" s="39" t="s">
        <v>110</v>
      </c>
      <c r="H33" s="176">
        <f>H34*0.78*0+26639</f>
        <v>26639</v>
      </c>
      <c r="I33" s="39" t="s">
        <v>117</v>
      </c>
      <c r="J33" s="39"/>
      <c r="K33" s="39"/>
    </row>
    <row r="34" spans="7:11" ht="24.95" customHeight="1" x14ac:dyDescent="0.25">
      <c r="G34" s="39" t="s">
        <v>111</v>
      </c>
      <c r="H34" s="176">
        <f>(SUM(I5:I29)+SUM(L5:L29))*0+34152</f>
        <v>34152</v>
      </c>
      <c r="I34" s="39" t="s">
        <v>116</v>
      </c>
      <c r="J34" s="39"/>
    </row>
    <row r="35" spans="7:11" ht="24.95" customHeight="1" x14ac:dyDescent="0.25">
      <c r="G35" s="39" t="s">
        <v>112</v>
      </c>
      <c r="H35" s="173">
        <f>SUMIFS(I5:I24,N5:N24,I35)+SUMIFS(L5:L24,N5:N24,I35)</f>
        <v>25121</v>
      </c>
      <c r="I35" s="39" t="str">
        <f>""</f>
        <v/>
      </c>
      <c r="J35" s="39"/>
    </row>
    <row r="36" spans="7:11" ht="24.95" customHeight="1" x14ac:dyDescent="0.25">
      <c r="G36" s="39" t="s">
        <v>113</v>
      </c>
      <c r="H36" s="173">
        <f>SUMIFS(I5:I24,N5:N24,I36)+SUMIFS(L5:L24,N5:N24,I36)</f>
        <v>17412</v>
      </c>
      <c r="I36" s="39" t="s">
        <v>22</v>
      </c>
      <c r="J36" s="177" t="s">
        <v>118</v>
      </c>
      <c r="K36" s="179"/>
    </row>
    <row r="37" spans="7:11" ht="24.95" customHeight="1" x14ac:dyDescent="0.25">
      <c r="G37" s="39" t="s">
        <v>114</v>
      </c>
      <c r="H37" s="174">
        <f>H35</f>
        <v>25121</v>
      </c>
      <c r="I37" s="39"/>
      <c r="J37" s="178">
        <f>H34-H35-H36</f>
        <v>-8381</v>
      </c>
      <c r="K37" s="52" t="s">
        <v>119</v>
      </c>
    </row>
    <row r="38" spans="7:11" ht="24.95" customHeight="1" x14ac:dyDescent="0.25">
      <c r="G38" s="39" t="s">
        <v>115</v>
      </c>
      <c r="H38" s="175">
        <f>K26</f>
        <v>0</v>
      </c>
    </row>
  </sheetData>
  <mergeCells count="3">
    <mergeCell ref="C1:M1"/>
    <mergeCell ref="C2:M2"/>
    <mergeCell ref="C4:D4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DE44-7BE5-4990-9B4F-BB1F0F5056DC}">
  <sheetPr codeName="Sheet1"/>
  <dimension ref="B1:AD39"/>
  <sheetViews>
    <sheetView showGridLines="0" topLeftCell="A10" zoomScale="85" zoomScaleNormal="85" workbookViewId="0">
      <selection activeCell="K38" sqref="K38"/>
    </sheetView>
  </sheetViews>
  <sheetFormatPr defaultColWidth="9.140625" defaultRowHeight="24.95" customHeight="1" x14ac:dyDescent="0.25"/>
  <cols>
    <col min="1" max="1" width="3.42578125" style="1" customWidth="1"/>
    <col min="2" max="2" width="9.140625" style="1" customWidth="1"/>
    <col min="3" max="3" width="12.85546875" style="2" customWidth="1"/>
    <col min="4" max="4" width="12.28515625" style="2" customWidth="1"/>
    <col min="5" max="5" width="12.42578125" style="1" customWidth="1"/>
    <col min="6" max="6" width="14.28515625" style="1" customWidth="1"/>
    <col min="7" max="7" width="12.28515625" style="1" hidden="1" customWidth="1"/>
    <col min="8" max="8" width="10.7109375" style="1" customWidth="1"/>
    <col min="9" max="9" width="11.28515625" style="2" customWidth="1"/>
    <col min="10" max="12" width="10.140625" style="1" customWidth="1"/>
    <col min="13" max="13" width="9.140625" style="1" customWidth="1"/>
    <col min="14" max="14" width="6.85546875" style="1" customWidth="1"/>
    <col min="15" max="15" width="5.42578125" style="1" customWidth="1"/>
    <col min="16" max="16" width="10.5703125" style="2" customWidth="1"/>
    <col min="17" max="17" width="16" style="2" customWidth="1"/>
    <col min="18" max="18" width="25" style="1" customWidth="1"/>
    <col min="19" max="20" width="18" style="2" customWidth="1"/>
    <col min="21" max="21" width="23" style="2" customWidth="1"/>
    <col min="22" max="22" width="22" style="1" customWidth="1"/>
    <col min="23" max="23" width="17.42578125" style="2" customWidth="1"/>
    <col min="24" max="24" width="24.140625" style="2" customWidth="1"/>
    <col min="25" max="25" width="17.140625" style="2" customWidth="1"/>
    <col min="26" max="26" width="9.42578125" style="1" customWidth="1"/>
    <col min="27" max="27" width="13.7109375" style="1" customWidth="1"/>
    <col min="28" max="28" width="12.85546875" style="2" customWidth="1"/>
    <col min="29" max="29" width="11.42578125" style="2" customWidth="1"/>
    <col min="30" max="16384" width="9.140625" style="1"/>
  </cols>
  <sheetData>
    <row r="1" spans="2:30" ht="28.5" customHeight="1" x14ac:dyDescent="0.25">
      <c r="B1" s="39"/>
      <c r="C1" s="229"/>
      <c r="D1" s="229"/>
      <c r="E1" s="229"/>
      <c r="F1" s="229"/>
      <c r="G1" s="229"/>
      <c r="H1" s="229"/>
      <c r="I1" s="229"/>
      <c r="J1" s="229"/>
      <c r="K1" s="86"/>
      <c r="L1" s="86"/>
      <c r="M1" s="39"/>
      <c r="N1" s="39"/>
      <c r="O1" s="39"/>
      <c r="P1" s="41"/>
      <c r="Q1" s="41"/>
      <c r="R1" s="39"/>
      <c r="S1" s="41"/>
      <c r="T1" s="41"/>
      <c r="U1" s="41"/>
      <c r="V1" s="39"/>
      <c r="W1" s="41"/>
      <c r="X1" s="41"/>
      <c r="Y1" s="41"/>
      <c r="Z1" s="39"/>
      <c r="AA1" s="39"/>
      <c r="AB1" s="41"/>
      <c r="AC1" s="41"/>
      <c r="AD1" s="39"/>
    </row>
    <row r="2" spans="2:30" ht="13.5" customHeight="1" x14ac:dyDescent="0.25">
      <c r="B2" s="39"/>
      <c r="C2" s="230"/>
      <c r="D2" s="230"/>
      <c r="E2" s="230"/>
      <c r="F2" s="230"/>
      <c r="G2" s="230" t="s">
        <v>2</v>
      </c>
      <c r="H2" s="230"/>
      <c r="I2" s="230"/>
      <c r="J2" s="230"/>
      <c r="K2" s="18"/>
      <c r="L2" s="18"/>
      <c r="M2" s="39"/>
      <c r="N2" s="39"/>
      <c r="O2" s="39"/>
      <c r="P2" s="41"/>
      <c r="Q2" s="41"/>
      <c r="R2" s="39"/>
      <c r="S2" s="41"/>
      <c r="T2" s="41"/>
      <c r="U2" s="41"/>
      <c r="V2" s="39"/>
      <c r="W2" s="41"/>
      <c r="X2" s="41"/>
      <c r="Y2" s="41"/>
      <c r="Z2" s="39"/>
      <c r="AA2" s="39"/>
      <c r="AB2" s="41"/>
      <c r="AC2" s="41"/>
      <c r="AD2" s="39"/>
    </row>
    <row r="3" spans="2:30" ht="47.45" customHeight="1" x14ac:dyDescent="0.2">
      <c r="B3" s="5" t="s">
        <v>88</v>
      </c>
      <c r="C3" s="208" t="s">
        <v>134</v>
      </c>
      <c r="D3" s="14" t="s">
        <v>86</v>
      </c>
      <c r="E3" s="7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K3" s="10" t="s">
        <v>135</v>
      </c>
      <c r="L3" s="208" t="s">
        <v>138</v>
      </c>
      <c r="M3" s="208" t="s">
        <v>136</v>
      </c>
      <c r="N3" s="208" t="s">
        <v>140</v>
      </c>
      <c r="O3" s="208" t="s">
        <v>137</v>
      </c>
      <c r="P3" s="208" t="s">
        <v>147</v>
      </c>
      <c r="Q3" s="222"/>
      <c r="R3" s="39"/>
      <c r="S3" s="39"/>
      <c r="T3" s="39"/>
      <c r="U3" s="41"/>
      <c r="V3" s="39"/>
      <c r="W3" s="41"/>
      <c r="X3" s="37"/>
      <c r="Y3" s="37"/>
      <c r="Z3" s="18"/>
      <c r="AA3" s="39"/>
      <c r="AB3" s="41"/>
      <c r="AC3" s="41"/>
      <c r="AD3" s="39"/>
    </row>
    <row r="4" spans="2:30" ht="21" customHeight="1" x14ac:dyDescent="0.25">
      <c r="B4" s="156">
        <v>17</v>
      </c>
      <c r="C4" s="133">
        <v>45646</v>
      </c>
      <c r="D4" s="131" t="s">
        <v>83</v>
      </c>
      <c r="E4" s="134" t="s">
        <v>27</v>
      </c>
      <c r="F4" s="135">
        <f>2900+13.6*2</f>
        <v>2927.2</v>
      </c>
      <c r="G4" s="136">
        <v>0</v>
      </c>
      <c r="H4" s="136">
        <f t="shared" ref="H4:H7" si="0">IF(K4="x",0,0.04*(I4+F4))</f>
        <v>117.16799999999999</v>
      </c>
      <c r="I4" s="136">
        <v>2</v>
      </c>
      <c r="J4" s="137">
        <f t="shared" ref="J4:J7" si="1">F4+H4+I4</f>
        <v>3046.3679999999999</v>
      </c>
      <c r="K4" s="137"/>
      <c r="L4" s="209">
        <f>M4-N4+O4</f>
        <v>20</v>
      </c>
      <c r="M4" s="209">
        <v>20</v>
      </c>
      <c r="N4" s="213"/>
      <c r="O4" s="213"/>
      <c r="P4" s="213"/>
      <c r="Q4" s="169"/>
      <c r="R4" s="61"/>
      <c r="S4" s="62"/>
      <c r="T4" s="41"/>
      <c r="U4" s="41"/>
      <c r="V4" s="39"/>
      <c r="W4" s="59"/>
      <c r="X4" s="53"/>
      <c r="Y4" s="41"/>
      <c r="Z4" s="80"/>
      <c r="AA4" s="81"/>
      <c r="AB4" s="53"/>
      <c r="AC4" s="53"/>
      <c r="AD4" s="39"/>
    </row>
    <row r="5" spans="2:30" ht="21" customHeight="1" x14ac:dyDescent="0.25">
      <c r="B5" s="157">
        <v>1</v>
      </c>
      <c r="C5" s="26">
        <v>45688</v>
      </c>
      <c r="D5" s="32" t="s">
        <v>72</v>
      </c>
      <c r="E5" s="48" t="s">
        <v>27</v>
      </c>
      <c r="F5" s="24">
        <f>2900+1.7+25.5+25.5</f>
        <v>2952.7</v>
      </c>
      <c r="G5" s="57">
        <v>0</v>
      </c>
      <c r="H5" s="57">
        <f t="shared" si="0"/>
        <v>118.18799999999999</v>
      </c>
      <c r="I5" s="57">
        <v>2</v>
      </c>
      <c r="J5" s="58">
        <f t="shared" si="1"/>
        <v>3072.8879999999999</v>
      </c>
      <c r="K5" s="58"/>
      <c r="L5" s="210">
        <f t="shared" ref="L5:L11" si="2">M5-N5+O5</f>
        <v>21</v>
      </c>
      <c r="M5" s="210">
        <v>21</v>
      </c>
      <c r="N5" s="214"/>
      <c r="O5" s="215"/>
      <c r="P5" s="215"/>
      <c r="Q5" s="80"/>
      <c r="R5" s="39"/>
      <c r="S5" s="59"/>
      <c r="T5" s="59"/>
      <c r="U5" s="59"/>
      <c r="V5" s="41"/>
      <c r="W5" s="80"/>
      <c r="X5" s="81"/>
      <c r="Y5" s="53"/>
      <c r="Z5" s="53"/>
      <c r="AA5" s="39"/>
      <c r="AB5" s="1"/>
      <c r="AC5" s="1"/>
    </row>
    <row r="6" spans="2:30" ht="21" customHeight="1" x14ac:dyDescent="0.25">
      <c r="B6" s="157">
        <v>2</v>
      </c>
      <c r="C6" s="26">
        <v>45716</v>
      </c>
      <c r="D6" s="32" t="s">
        <v>73</v>
      </c>
      <c r="E6" s="48" t="s">
        <v>27</v>
      </c>
      <c r="F6" s="24">
        <f>2900+54.4</f>
        <v>2954.4</v>
      </c>
      <c r="G6" s="57">
        <v>0</v>
      </c>
      <c r="H6" s="57">
        <f>IF(K6="x",0,0.04*(I6+F6))</f>
        <v>118.256</v>
      </c>
      <c r="I6" s="57">
        <v>2</v>
      </c>
      <c r="J6" s="58">
        <f>F6+H6+I6</f>
        <v>3074.6559999999999</v>
      </c>
      <c r="K6" s="58"/>
      <c r="L6" s="210">
        <f t="shared" si="2"/>
        <v>20</v>
      </c>
      <c r="M6" s="210">
        <v>20</v>
      </c>
      <c r="N6" s="214"/>
      <c r="O6" s="215"/>
      <c r="P6" s="215"/>
      <c r="Q6" s="80"/>
      <c r="R6" s="39"/>
      <c r="S6" s="59"/>
      <c r="T6" s="59"/>
      <c r="U6" s="169"/>
      <c r="V6" s="41"/>
      <c r="W6" s="80"/>
      <c r="X6" s="81"/>
      <c r="Y6" s="53"/>
      <c r="Z6" s="53"/>
      <c r="AA6" s="39"/>
      <c r="AB6" s="1"/>
      <c r="AC6" s="1"/>
    </row>
    <row r="7" spans="2:30" ht="21" customHeight="1" x14ac:dyDescent="0.25">
      <c r="B7" s="157">
        <v>3</v>
      </c>
      <c r="C7" s="26">
        <v>45737</v>
      </c>
      <c r="D7" s="32" t="s">
        <v>74</v>
      </c>
      <c r="E7" s="48" t="s">
        <v>121</v>
      </c>
      <c r="F7" s="24">
        <v>50</v>
      </c>
      <c r="G7" s="57">
        <v>0</v>
      </c>
      <c r="H7" s="57">
        <f t="shared" si="0"/>
        <v>2.08</v>
      </c>
      <c r="I7" s="57">
        <v>2</v>
      </c>
      <c r="J7" s="58">
        <f t="shared" si="1"/>
        <v>54.08</v>
      </c>
      <c r="K7" s="58"/>
      <c r="L7" s="210"/>
      <c r="M7" s="210"/>
      <c r="N7" s="214"/>
      <c r="O7" s="215"/>
      <c r="P7" s="215"/>
      <c r="Q7" s="80"/>
      <c r="R7" s="211" t="s">
        <v>141</v>
      </c>
      <c r="S7" s="212">
        <v>165</v>
      </c>
      <c r="T7" s="59"/>
      <c r="U7" s="59"/>
      <c r="V7" s="41"/>
      <c r="W7" s="80"/>
      <c r="X7" s="39"/>
      <c r="Y7" s="82"/>
      <c r="Z7" s="53"/>
      <c r="AA7" s="39"/>
      <c r="AB7" s="1"/>
      <c r="AC7" s="1"/>
    </row>
    <row r="8" spans="2:30" ht="21" customHeight="1" x14ac:dyDescent="0.25">
      <c r="B8" s="157">
        <v>4</v>
      </c>
      <c r="C8" s="26">
        <v>45747</v>
      </c>
      <c r="D8" s="32" t="s">
        <v>74</v>
      </c>
      <c r="E8" s="48" t="s">
        <v>27</v>
      </c>
      <c r="F8" s="24">
        <f>13.6+2900</f>
        <v>2913.6</v>
      </c>
      <c r="G8" s="57">
        <v>0</v>
      </c>
      <c r="H8" s="57">
        <f>IF(K8="x",0,0.04*(I8+F8))</f>
        <v>116.624</v>
      </c>
      <c r="I8" s="57">
        <v>2</v>
      </c>
      <c r="J8" s="58">
        <f t="shared" ref="J8:J10" si="3">F8+H8+I8</f>
        <v>3032.2239999999997</v>
      </c>
      <c r="K8" s="58"/>
      <c r="L8" s="210">
        <f t="shared" si="2"/>
        <v>21</v>
      </c>
      <c r="M8" s="210">
        <v>21</v>
      </c>
      <c r="N8" s="214"/>
      <c r="O8" s="215"/>
      <c r="P8" s="215"/>
      <c r="Q8" s="80"/>
      <c r="R8" s="39"/>
      <c r="S8" s="59"/>
      <c r="T8" s="59"/>
      <c r="U8" s="59"/>
      <c r="V8" s="41"/>
      <c r="W8" s="80"/>
      <c r="X8" s="39"/>
      <c r="Y8" s="82"/>
      <c r="Z8" s="53"/>
      <c r="AA8" s="39"/>
      <c r="AB8" s="1"/>
      <c r="AC8" s="1"/>
    </row>
    <row r="9" spans="2:30" ht="21" customHeight="1" x14ac:dyDescent="0.25">
      <c r="B9" s="157">
        <v>5</v>
      </c>
      <c r="C9" s="26">
        <v>45777</v>
      </c>
      <c r="D9" s="32" t="s">
        <v>75</v>
      </c>
      <c r="E9" s="48" t="s">
        <v>27</v>
      </c>
      <c r="F9" s="24">
        <f>2900+15.06*2</f>
        <v>2930.12</v>
      </c>
      <c r="G9" s="57">
        <v>0</v>
      </c>
      <c r="H9" s="57">
        <f>IF(K9="x",0,0.04*(I9+F9))</f>
        <v>117.2848</v>
      </c>
      <c r="I9" s="57">
        <v>2</v>
      </c>
      <c r="J9" s="58">
        <f t="shared" si="3"/>
        <v>3049.4047999999998</v>
      </c>
      <c r="K9" s="58"/>
      <c r="L9" s="210">
        <f t="shared" si="2"/>
        <v>20</v>
      </c>
      <c r="M9" s="210">
        <v>20</v>
      </c>
      <c r="N9" s="214"/>
      <c r="O9" s="215"/>
      <c r="P9" s="215"/>
      <c r="Q9" s="80"/>
      <c r="R9" s="39"/>
      <c r="S9" s="59"/>
      <c r="T9" s="59"/>
      <c r="U9" s="161"/>
      <c r="V9" s="41"/>
      <c r="W9" s="80"/>
      <c r="X9" s="39"/>
      <c r="Y9" s="82"/>
      <c r="Z9" s="53"/>
      <c r="AA9" s="39"/>
      <c r="AB9" s="1"/>
      <c r="AC9" s="1"/>
    </row>
    <row r="10" spans="2:30" ht="21" customHeight="1" x14ac:dyDescent="0.25">
      <c r="B10" s="157">
        <v>6</v>
      </c>
      <c r="C10" s="26">
        <v>45789</v>
      </c>
      <c r="D10" s="32" t="s">
        <v>76</v>
      </c>
      <c r="E10" s="48" t="s">
        <v>122</v>
      </c>
      <c r="F10" s="24">
        <v>748</v>
      </c>
      <c r="G10" s="57">
        <v>0</v>
      </c>
      <c r="H10" s="57">
        <f>IF(K10="x",0,0.04*(I10+F10))</f>
        <v>30</v>
      </c>
      <c r="I10" s="57">
        <v>2</v>
      </c>
      <c r="J10" s="58">
        <f t="shared" si="3"/>
        <v>780</v>
      </c>
      <c r="K10" s="58"/>
      <c r="L10" s="210"/>
      <c r="M10" s="210"/>
      <c r="N10" s="214"/>
      <c r="O10" s="215"/>
      <c r="P10" s="215"/>
      <c r="Q10" s="80"/>
      <c r="R10" s="39"/>
      <c r="U10" s="59"/>
      <c r="V10" s="41"/>
      <c r="W10" s="80"/>
      <c r="X10" s="39"/>
      <c r="Y10" s="82"/>
      <c r="Z10" s="53"/>
      <c r="AA10" s="39"/>
      <c r="AB10" s="1"/>
      <c r="AC10" s="1"/>
    </row>
    <row r="11" spans="2:30" ht="21" customHeight="1" x14ac:dyDescent="0.25">
      <c r="B11" s="157">
        <v>7</v>
      </c>
      <c r="C11" s="26">
        <v>45808</v>
      </c>
      <c r="D11" s="32" t="s">
        <v>76</v>
      </c>
      <c r="E11" s="48" t="s">
        <v>27</v>
      </c>
      <c r="F11" s="24">
        <f>2900+15.06*2</f>
        <v>2930.12</v>
      </c>
      <c r="G11" s="57">
        <v>0</v>
      </c>
      <c r="H11" s="57">
        <f t="shared" ref="H11:H12" si="4">IF(K11="x",0,0.04*(I11+F11))</f>
        <v>117.2848</v>
      </c>
      <c r="I11" s="57">
        <v>2</v>
      </c>
      <c r="J11" s="58">
        <f t="shared" ref="J11:J12" si="5">F11+H11+I11</f>
        <v>3049.4047999999998</v>
      </c>
      <c r="K11" s="58"/>
      <c r="L11" s="210">
        <f t="shared" si="2"/>
        <v>21</v>
      </c>
      <c r="M11" s="210">
        <v>21</v>
      </c>
      <c r="N11" s="214"/>
      <c r="O11" s="215"/>
      <c r="P11" s="215"/>
      <c r="Q11" s="80"/>
      <c r="R11" s="3" t="s">
        <v>31</v>
      </c>
      <c r="S11" s="18">
        <v>0.78</v>
      </c>
      <c r="T11" s="18"/>
      <c r="V11" s="39"/>
      <c r="W11" s="59"/>
      <c r="X11" s="59"/>
      <c r="Y11" s="41"/>
      <c r="Z11" s="80"/>
      <c r="AA11" s="39"/>
      <c r="AB11" s="82"/>
      <c r="AC11" s="53"/>
      <c r="AD11" s="39"/>
    </row>
    <row r="12" spans="2:30" ht="21" customHeight="1" x14ac:dyDescent="0.25">
      <c r="B12" s="157">
        <v>8</v>
      </c>
      <c r="C12" s="26">
        <v>45829</v>
      </c>
      <c r="D12" s="32" t="s">
        <v>77</v>
      </c>
      <c r="E12" s="48" t="s">
        <v>142</v>
      </c>
      <c r="F12" s="24">
        <f>2000+16*3</f>
        <v>2048</v>
      </c>
      <c r="G12" s="57">
        <v>0</v>
      </c>
      <c r="H12" s="57">
        <f t="shared" si="4"/>
        <v>82</v>
      </c>
      <c r="I12" s="57">
        <v>2</v>
      </c>
      <c r="J12" s="58">
        <f t="shared" si="5"/>
        <v>2132</v>
      </c>
      <c r="K12" s="58"/>
      <c r="L12" s="219"/>
      <c r="M12" s="219"/>
      <c r="N12" s="214"/>
      <c r="O12" s="215"/>
      <c r="P12" s="215"/>
      <c r="Q12" s="80"/>
      <c r="R12" s="39"/>
      <c r="S12" s="17" t="s">
        <v>32</v>
      </c>
      <c r="T12" s="62"/>
      <c r="V12" s="17"/>
      <c r="W12" s="59"/>
      <c r="X12" s="59"/>
      <c r="Y12" s="41"/>
      <c r="Z12" s="80"/>
      <c r="AA12" s="39"/>
      <c r="AB12" s="82"/>
      <c r="AC12" s="53"/>
      <c r="AD12" s="39"/>
    </row>
    <row r="13" spans="2:30" ht="21" customHeight="1" x14ac:dyDescent="0.25">
      <c r="B13" s="157">
        <v>9</v>
      </c>
      <c r="C13" s="26">
        <v>45838</v>
      </c>
      <c r="D13" s="32" t="s">
        <v>77</v>
      </c>
      <c r="E13" s="48" t="s">
        <v>27</v>
      </c>
      <c r="F13" s="24">
        <f>L13*$S$7</f>
        <v>3300</v>
      </c>
      <c r="G13" s="57">
        <v>0</v>
      </c>
      <c r="H13" s="57">
        <f t="shared" ref="H13:H15" si="6">IF(K13="x",0,0.04*(I13+F13))</f>
        <v>132.08000000000001</v>
      </c>
      <c r="I13" s="57">
        <v>2</v>
      </c>
      <c r="J13" s="58">
        <f t="shared" ref="J13:J21" si="7">F13+H13+I13</f>
        <v>3434.08</v>
      </c>
      <c r="K13" s="58"/>
      <c r="L13" s="220">
        <f t="shared" ref="L13:L20" si="8">M13-N13+O13</f>
        <v>20</v>
      </c>
      <c r="M13" s="220">
        <v>20</v>
      </c>
      <c r="N13" s="214"/>
      <c r="O13" s="215"/>
      <c r="P13" s="215"/>
      <c r="Q13" s="80"/>
      <c r="R13" s="36" t="s">
        <v>33</v>
      </c>
      <c r="S13" s="62">
        <f>F27</f>
        <v>43834.14</v>
      </c>
      <c r="T13" s="62"/>
      <c r="V13" s="3"/>
      <c r="W13" s="59"/>
      <c r="X13" s="59"/>
      <c r="Y13" s="41"/>
      <c r="Z13" s="80"/>
      <c r="AA13" s="39"/>
      <c r="AB13" s="82"/>
      <c r="AC13" s="53"/>
      <c r="AD13" s="39"/>
    </row>
    <row r="14" spans="2:30" ht="21" customHeight="1" x14ac:dyDescent="0.25">
      <c r="B14" s="157">
        <v>10</v>
      </c>
      <c r="C14" s="26">
        <v>45869</v>
      </c>
      <c r="D14" s="32" t="s">
        <v>78</v>
      </c>
      <c r="E14" s="48" t="s">
        <v>27</v>
      </c>
      <c r="F14" s="24">
        <f t="shared" ref="F14:F19" si="9">L14*$S$7</f>
        <v>3795</v>
      </c>
      <c r="G14" s="57">
        <v>0</v>
      </c>
      <c r="H14" s="57">
        <f t="shared" si="6"/>
        <v>151.88</v>
      </c>
      <c r="I14" s="57">
        <v>2</v>
      </c>
      <c r="J14" s="58">
        <f t="shared" si="7"/>
        <v>3948.88</v>
      </c>
      <c r="K14" s="58"/>
      <c r="L14" s="220">
        <f t="shared" si="8"/>
        <v>23</v>
      </c>
      <c r="M14" s="220">
        <v>23</v>
      </c>
      <c r="N14" s="214"/>
      <c r="O14" s="215"/>
      <c r="P14" s="215"/>
      <c r="Q14" s="80"/>
      <c r="R14" s="39" t="s">
        <v>35</v>
      </c>
      <c r="S14" s="62">
        <f>S13+SUM(I4:I25)</f>
        <v>43918.14</v>
      </c>
      <c r="T14" s="62"/>
      <c r="V14" s="36"/>
      <c r="W14" s="59"/>
      <c r="X14" s="41"/>
      <c r="Y14" s="63"/>
      <c r="Z14" s="63"/>
      <c r="AA14" s="39"/>
      <c r="AB14" s="82"/>
      <c r="AC14" s="53"/>
      <c r="AD14" s="39"/>
    </row>
    <row r="15" spans="2:30" ht="21" customHeight="1" x14ac:dyDescent="0.25">
      <c r="B15" s="157">
        <v>11</v>
      </c>
      <c r="C15" s="26">
        <v>45900</v>
      </c>
      <c r="D15" s="32" t="s">
        <v>79</v>
      </c>
      <c r="E15" s="48" t="s">
        <v>27</v>
      </c>
      <c r="F15" s="24">
        <f t="shared" si="9"/>
        <v>2145</v>
      </c>
      <c r="G15" s="57">
        <v>0</v>
      </c>
      <c r="H15" s="57">
        <f t="shared" si="6"/>
        <v>85.88</v>
      </c>
      <c r="I15" s="57">
        <v>2</v>
      </c>
      <c r="J15" s="58">
        <f t="shared" si="7"/>
        <v>2232.88</v>
      </c>
      <c r="K15" s="58"/>
      <c r="L15" s="220">
        <f t="shared" si="8"/>
        <v>13</v>
      </c>
      <c r="M15" s="220">
        <v>20</v>
      </c>
      <c r="N15" s="214">
        <v>10</v>
      </c>
      <c r="O15" s="215">
        <v>3</v>
      </c>
      <c r="P15" s="215"/>
      <c r="Q15" s="80"/>
      <c r="R15" s="36" t="s">
        <v>37</v>
      </c>
      <c r="S15" s="62"/>
      <c r="V15" s="36"/>
      <c r="W15" s="59"/>
      <c r="X15" s="41"/>
      <c r="Y15" s="63"/>
      <c r="Z15" s="63"/>
      <c r="AA15" s="39"/>
      <c r="AB15" s="41"/>
      <c r="AC15" s="53"/>
      <c r="AD15" s="39"/>
    </row>
    <row r="16" spans="2:30" ht="21" customHeight="1" x14ac:dyDescent="0.25">
      <c r="B16" s="157">
        <v>12</v>
      </c>
      <c r="C16" s="26">
        <v>45930</v>
      </c>
      <c r="D16" s="32" t="s">
        <v>80</v>
      </c>
      <c r="E16" s="48" t="s">
        <v>27</v>
      </c>
      <c r="F16" s="24">
        <f t="shared" si="9"/>
        <v>3630</v>
      </c>
      <c r="G16" s="57">
        <v>0</v>
      </c>
      <c r="H16" s="57">
        <f>IF(K16="x",0,0.04*(I16+F16))</f>
        <v>145.28</v>
      </c>
      <c r="I16" s="57">
        <v>2</v>
      </c>
      <c r="J16" s="58">
        <f t="shared" si="7"/>
        <v>3777.28</v>
      </c>
      <c r="K16" s="58"/>
      <c r="L16" s="220">
        <f>M16-N16+O16</f>
        <v>22</v>
      </c>
      <c r="M16" s="220">
        <v>22</v>
      </c>
      <c r="N16" s="214"/>
      <c r="O16" s="215"/>
      <c r="P16" s="215"/>
      <c r="Q16" s="80"/>
      <c r="R16" s="36" t="s">
        <v>38</v>
      </c>
      <c r="S16" s="62">
        <f>0.78*S14</f>
        <v>34256.1492</v>
      </c>
      <c r="V16" s="36"/>
      <c r="W16" s="41"/>
      <c r="X16" s="41"/>
      <c r="Y16" s="63"/>
      <c r="Z16" s="63"/>
      <c r="AA16" s="39"/>
      <c r="AB16" s="41"/>
      <c r="AC16" s="41"/>
      <c r="AD16" s="39"/>
    </row>
    <row r="17" spans="2:30" ht="21" customHeight="1" x14ac:dyDescent="0.25">
      <c r="B17" s="157">
        <v>13</v>
      </c>
      <c r="C17" s="26">
        <v>45938</v>
      </c>
      <c r="D17" s="32" t="s">
        <v>81</v>
      </c>
      <c r="E17" s="48" t="s">
        <v>151</v>
      </c>
      <c r="F17" s="24">
        <v>1300</v>
      </c>
      <c r="G17" s="57">
        <v>1</v>
      </c>
      <c r="H17" s="57">
        <f>IF(K17="x",0,0.04*(I17+F17))</f>
        <v>52.08</v>
      </c>
      <c r="I17" s="57">
        <v>2</v>
      </c>
      <c r="J17" s="58">
        <f t="shared" ref="J17" si="10">F17+H17+I17</f>
        <v>1354.08</v>
      </c>
      <c r="K17" s="58"/>
      <c r="L17" s="223"/>
      <c r="M17" s="223"/>
      <c r="N17" s="214"/>
      <c r="O17" s="215"/>
      <c r="P17" s="215"/>
      <c r="Q17" s="80"/>
      <c r="R17" s="36"/>
      <c r="S17" s="62"/>
      <c r="V17" s="36"/>
      <c r="W17" s="41"/>
      <c r="X17" s="41"/>
      <c r="Y17" s="63"/>
      <c r="Z17" s="63"/>
      <c r="AA17" s="39"/>
      <c r="AB17" s="41"/>
      <c r="AC17" s="41"/>
      <c r="AD17" s="39"/>
    </row>
    <row r="18" spans="2:30" ht="21" customHeight="1" x14ac:dyDescent="0.25">
      <c r="B18" s="157">
        <v>14</v>
      </c>
      <c r="C18" s="26">
        <v>45938</v>
      </c>
      <c r="D18" s="32" t="s">
        <v>81</v>
      </c>
      <c r="E18" s="48" t="s">
        <v>152</v>
      </c>
      <c r="F18" s="24">
        <v>350</v>
      </c>
      <c r="G18" s="57">
        <v>2</v>
      </c>
      <c r="H18" s="57">
        <f>IF(K18="x",0,0.04*(I18+F18))</f>
        <v>14.08</v>
      </c>
      <c r="I18" s="57">
        <v>2</v>
      </c>
      <c r="J18" s="58">
        <f t="shared" ref="J18" si="11">F18+H18+I18</f>
        <v>366.08</v>
      </c>
      <c r="K18" s="58"/>
      <c r="L18" s="223"/>
      <c r="M18" s="223"/>
      <c r="N18" s="214"/>
      <c r="O18" s="215"/>
      <c r="P18" s="215"/>
      <c r="Q18" s="80"/>
      <c r="R18" s="36"/>
      <c r="S18" s="62"/>
      <c r="V18" s="36"/>
      <c r="W18" s="41"/>
      <c r="X18" s="41"/>
      <c r="Y18" s="63"/>
      <c r="Z18" s="63"/>
      <c r="AA18" s="39"/>
      <c r="AB18" s="41"/>
      <c r="AC18" s="41"/>
      <c r="AD18" s="39"/>
    </row>
    <row r="19" spans="2:30" ht="21" customHeight="1" x14ac:dyDescent="0.25">
      <c r="B19" s="157">
        <v>15</v>
      </c>
      <c r="C19" s="26">
        <v>45961</v>
      </c>
      <c r="D19" s="32" t="s">
        <v>81</v>
      </c>
      <c r="E19" s="48" t="s">
        <v>27</v>
      </c>
      <c r="F19" s="24">
        <f t="shared" si="9"/>
        <v>4125</v>
      </c>
      <c r="G19" s="57">
        <v>0</v>
      </c>
      <c r="H19" s="57">
        <f>IF(K19="x",0,0.04*(I19+F19))</f>
        <v>165.08</v>
      </c>
      <c r="I19" s="57">
        <v>2</v>
      </c>
      <c r="J19" s="58">
        <f t="shared" si="7"/>
        <v>4292.08</v>
      </c>
      <c r="K19" s="58"/>
      <c r="L19" s="220">
        <f t="shared" si="8"/>
        <v>25</v>
      </c>
      <c r="M19" s="220">
        <v>23</v>
      </c>
      <c r="N19" s="214"/>
      <c r="O19" s="215">
        <v>2</v>
      </c>
      <c r="P19" s="215"/>
      <c r="Q19" s="80"/>
      <c r="R19" s="36" t="s">
        <v>39</v>
      </c>
      <c r="S19" s="4">
        <f>0.15*(S16-S26)</f>
        <v>4491.5779174500003</v>
      </c>
      <c r="U19" s="128" t="s">
        <v>64</v>
      </c>
      <c r="V19" s="128" t="s">
        <v>66</v>
      </c>
      <c r="X19" s="41"/>
      <c r="Y19" s="63"/>
      <c r="Z19" s="63"/>
      <c r="AA19" s="39"/>
      <c r="AB19" s="41"/>
      <c r="AC19" s="41"/>
      <c r="AD19" s="39"/>
    </row>
    <row r="20" spans="2:30" ht="21" customHeight="1" x14ac:dyDescent="0.25">
      <c r="B20" s="157">
        <v>16</v>
      </c>
      <c r="C20" s="26">
        <v>45991</v>
      </c>
      <c r="D20" s="32" t="s">
        <v>82</v>
      </c>
      <c r="E20" s="48" t="s">
        <v>27</v>
      </c>
      <c r="F20" s="24">
        <f>L20*$S$7</f>
        <v>3135</v>
      </c>
      <c r="G20" s="57">
        <v>0</v>
      </c>
      <c r="H20" s="57">
        <f t="shared" ref="H20" si="12">IF(K20="x",0,0.04*(I20+F20))</f>
        <v>125.48</v>
      </c>
      <c r="I20" s="57">
        <v>2</v>
      </c>
      <c r="J20" s="58">
        <f t="shared" si="7"/>
        <v>3262.48</v>
      </c>
      <c r="K20" s="58"/>
      <c r="L20" s="220">
        <f t="shared" si="8"/>
        <v>19</v>
      </c>
      <c r="M20" s="220">
        <v>20</v>
      </c>
      <c r="N20" s="214">
        <v>1</v>
      </c>
      <c r="O20" s="215"/>
      <c r="P20" s="215"/>
      <c r="Q20" s="80"/>
      <c r="U20" s="53">
        <f>(449+318)*0+1842</f>
        <v>1842</v>
      </c>
      <c r="V20" s="228">
        <f>S19-U20</f>
        <v>2649.5779174500003</v>
      </c>
      <c r="X20" s="41"/>
      <c r="Y20" s="63"/>
      <c r="Z20" s="63"/>
      <c r="AA20" s="39"/>
      <c r="AB20" s="41"/>
      <c r="AC20" s="41"/>
      <c r="AD20" s="39"/>
    </row>
    <row r="21" spans="2:30" ht="21" customHeight="1" x14ac:dyDescent="0.25">
      <c r="B21" s="157">
        <v>17</v>
      </c>
      <c r="C21" s="26">
        <v>45992</v>
      </c>
      <c r="D21" s="32" t="s">
        <v>83</v>
      </c>
      <c r="E21" s="48" t="s">
        <v>159</v>
      </c>
      <c r="F21" s="24">
        <v>1600</v>
      </c>
      <c r="G21" s="57"/>
      <c r="H21" s="57">
        <f>IF(K21="x",0,0.04*(I21+F21))</f>
        <v>66</v>
      </c>
      <c r="I21" s="57">
        <v>50</v>
      </c>
      <c r="J21" s="58">
        <f t="shared" si="7"/>
        <v>1716</v>
      </c>
      <c r="K21" s="58"/>
      <c r="L21" s="58"/>
      <c r="M21" s="58"/>
      <c r="N21" s="58"/>
      <c r="O21" s="215"/>
      <c r="P21" s="215"/>
      <c r="Q21" s="80"/>
      <c r="R21" s="65"/>
      <c r="S21" s="18"/>
      <c r="T21" s="62" t="s">
        <v>95</v>
      </c>
      <c r="U21" s="39"/>
      <c r="V21" s="41"/>
      <c r="X21" s="41"/>
      <c r="Y21" s="41"/>
      <c r="Z21" s="39"/>
      <c r="AA21" s="39"/>
      <c r="AB21" s="41"/>
      <c r="AC21" s="41"/>
      <c r="AD21" s="39"/>
    </row>
    <row r="22" spans="2:30" ht="21" customHeight="1" x14ac:dyDescent="0.25">
      <c r="B22" s="157"/>
      <c r="C22" s="26"/>
      <c r="D22" s="32"/>
      <c r="E22" s="48"/>
      <c r="F22" s="24"/>
      <c r="G22" s="57"/>
      <c r="H22" s="57"/>
      <c r="I22" s="57"/>
      <c r="J22" s="58"/>
      <c r="K22" s="58"/>
      <c r="L22" s="58"/>
      <c r="M22" s="58"/>
      <c r="N22" s="58"/>
      <c r="O22" s="215"/>
      <c r="P22" s="215"/>
      <c r="Q22" s="80"/>
      <c r="R22" s="3" t="s">
        <v>40</v>
      </c>
      <c r="S22" s="39"/>
      <c r="T22" s="164">
        <v>39000</v>
      </c>
      <c r="U22" s="128" t="s">
        <v>64</v>
      </c>
      <c r="V22" s="128" t="s">
        <v>66</v>
      </c>
      <c r="X22" s="41"/>
      <c r="Y22" s="41"/>
      <c r="Z22" s="39"/>
      <c r="AA22" s="39"/>
      <c r="AB22" s="41"/>
      <c r="AC22" s="41"/>
      <c r="AD22" s="39"/>
    </row>
    <row r="23" spans="2:30" ht="21" customHeight="1" x14ac:dyDescent="0.25">
      <c r="B23" s="26"/>
      <c r="C23" s="32"/>
      <c r="D23" s="32"/>
      <c r="E23" s="48"/>
      <c r="F23" s="24"/>
      <c r="G23" s="57"/>
      <c r="H23" s="57"/>
      <c r="I23" s="57"/>
      <c r="J23" s="58"/>
      <c r="K23" s="58"/>
      <c r="L23" s="58"/>
      <c r="M23" s="58"/>
      <c r="N23" s="58"/>
      <c r="O23" s="215"/>
      <c r="P23" s="215"/>
      <c r="Q23" s="80"/>
      <c r="R23" s="66" t="s">
        <v>41</v>
      </c>
      <c r="S23" s="67">
        <f>MAX(780,0.0725*S16)*IF(T26="Sì",1,2)</f>
        <v>2483.5708169999998</v>
      </c>
      <c r="T23" s="41" t="s">
        <v>96</v>
      </c>
      <c r="U23" s="53">
        <v>633.5</v>
      </c>
      <c r="V23" s="129">
        <f>S23-U23</f>
        <v>1850.0708169999998</v>
      </c>
      <c r="X23" s="41"/>
      <c r="Y23" s="41"/>
      <c r="Z23" s="39"/>
      <c r="AA23" s="39"/>
      <c r="AB23" s="41"/>
      <c r="AC23" s="41"/>
      <c r="AD23" s="39"/>
    </row>
    <row r="24" spans="2:30" ht="21" customHeight="1" x14ac:dyDescent="0.25">
      <c r="B24" s="26"/>
      <c r="C24" s="32"/>
      <c r="D24" s="32"/>
      <c r="E24" s="48"/>
      <c r="F24" s="24"/>
      <c r="G24" s="60"/>
      <c r="H24" s="60"/>
      <c r="I24" s="60"/>
      <c r="J24" s="58"/>
      <c r="K24" s="58"/>
      <c r="L24" s="58"/>
      <c r="M24" s="58"/>
      <c r="N24" s="58"/>
      <c r="O24" s="215"/>
      <c r="P24" s="215"/>
      <c r="Q24" s="80"/>
      <c r="R24" s="36" t="s">
        <v>42</v>
      </c>
      <c r="S24" s="62">
        <f>MAX(231.5,H26)</f>
        <v>1756.7256</v>
      </c>
      <c r="T24" s="63">
        <f>(T22-S16)/0.78</f>
        <v>6081.86</v>
      </c>
      <c r="U24" s="53">
        <v>652.5</v>
      </c>
      <c r="V24" s="129">
        <f>S24-U24</f>
        <v>1104.2256</v>
      </c>
      <c r="X24" s="41"/>
      <c r="Y24" s="41"/>
      <c r="Z24" s="39"/>
      <c r="AA24" s="39"/>
      <c r="AB24" s="41"/>
      <c r="AC24" s="41"/>
      <c r="AD24" s="39"/>
    </row>
    <row r="25" spans="2:30" ht="21" customHeight="1" x14ac:dyDescent="0.25">
      <c r="B25" s="29"/>
      <c r="C25" s="35"/>
      <c r="D25" s="35"/>
      <c r="E25" s="72"/>
      <c r="F25" s="25"/>
      <c r="G25" s="73"/>
      <c r="H25" s="73"/>
      <c r="I25" s="73"/>
      <c r="J25" s="74"/>
      <c r="K25" s="74"/>
      <c r="L25" s="74"/>
      <c r="M25" s="74"/>
      <c r="N25" s="74"/>
      <c r="O25" s="216"/>
      <c r="P25" s="216"/>
      <c r="Q25" s="80"/>
      <c r="R25" s="36" t="s">
        <v>43</v>
      </c>
      <c r="S25" s="62">
        <v>72</v>
      </c>
      <c r="T25" s="41" t="s">
        <v>97</v>
      </c>
      <c r="U25" s="4"/>
      <c r="V25" s="129">
        <f>S25-U25</f>
        <v>72</v>
      </c>
      <c r="X25" s="41"/>
      <c r="Y25" s="41"/>
      <c r="Z25" s="39"/>
      <c r="AA25" s="39"/>
      <c r="AB25" s="41"/>
      <c r="AC25" s="41"/>
      <c r="AD25" s="39"/>
    </row>
    <row r="26" spans="2:30" ht="24.95" customHeight="1" x14ac:dyDescent="0.25">
      <c r="B26" s="39"/>
      <c r="C26" s="41"/>
      <c r="D26" s="41"/>
      <c r="E26" s="39" t="s">
        <v>44</v>
      </c>
      <c r="F26" s="75">
        <f>SUBTOTAL(9,F4:F25)</f>
        <v>43834.14</v>
      </c>
      <c r="G26" s="76"/>
      <c r="H26" s="75">
        <f>SUBTOTAL(9,H4:H25)</f>
        <v>1756.7256</v>
      </c>
      <c r="I26" s="12" t="s">
        <v>45</v>
      </c>
      <c r="J26" s="11">
        <f>SUBTOTAL(9,J4:J25)</f>
        <v>45674.865600000012</v>
      </c>
      <c r="K26" s="4"/>
      <c r="L26" s="217">
        <f>SUM(L13:L20)</f>
        <v>122</v>
      </c>
      <c r="M26" s="217">
        <f>SUM(M4:M20)</f>
        <v>251</v>
      </c>
      <c r="N26" s="39"/>
      <c r="O26" s="39"/>
      <c r="P26" s="41"/>
      <c r="Q26" s="41"/>
      <c r="R26" s="39"/>
      <c r="S26" s="4">
        <f>SUM(S23:S25)</f>
        <v>4312.2964169999996</v>
      </c>
      <c r="T26" s="2" t="str">
        <f>IF(T24&gt;0,"Sì","No")</f>
        <v>Sì</v>
      </c>
      <c r="U26" s="4">
        <f>SUM(U23:U25)</f>
        <v>1286</v>
      </c>
      <c r="V26" s="4">
        <f>SUM(V23:V25)</f>
        <v>3026.2964169999996</v>
      </c>
      <c r="X26" s="41"/>
      <c r="Y26" s="41"/>
      <c r="Z26" s="39"/>
      <c r="AA26" s="39"/>
      <c r="AB26" s="41"/>
      <c r="AC26" s="41"/>
      <c r="AD26" s="39"/>
    </row>
    <row r="27" spans="2:30" ht="24.95" customHeight="1" x14ac:dyDescent="0.25">
      <c r="B27" s="39"/>
      <c r="C27" s="41"/>
      <c r="D27" s="41"/>
      <c r="E27" s="39" t="s">
        <v>46</v>
      </c>
      <c r="F27" s="77">
        <f>SUM(F4:F25)</f>
        <v>43834.14</v>
      </c>
      <c r="G27" s="61"/>
      <c r="H27" s="41"/>
      <c r="I27" s="39"/>
      <c r="J27" s="39"/>
      <c r="K27" s="39"/>
      <c r="L27" s="224">
        <f>SUM(L4:L21)</f>
        <v>245</v>
      </c>
      <c r="M27" s="39"/>
      <c r="N27" s="39"/>
      <c r="O27" s="39"/>
      <c r="P27" s="41"/>
      <c r="Q27" s="41"/>
      <c r="S27" s="1"/>
      <c r="T27" s="1"/>
      <c r="U27" s="1"/>
      <c r="W27" s="41"/>
      <c r="X27" s="41"/>
      <c r="Y27" s="41"/>
      <c r="Z27" s="39"/>
      <c r="AA27" s="39"/>
      <c r="AB27" s="41"/>
      <c r="AC27" s="41"/>
      <c r="AD27" s="39"/>
    </row>
    <row r="28" spans="2:30" ht="24.95" customHeight="1" x14ac:dyDescent="0.25">
      <c r="B28" s="39"/>
      <c r="C28" s="41"/>
      <c r="D28" s="41"/>
      <c r="E28" s="39"/>
      <c r="F28" s="78"/>
      <c r="G28" s="61"/>
      <c r="H28" s="41"/>
      <c r="I28" s="39"/>
      <c r="J28" s="39"/>
      <c r="K28" s="39"/>
      <c r="L28" s="39"/>
      <c r="M28" s="39"/>
      <c r="N28" s="39"/>
      <c r="O28" s="39"/>
      <c r="P28" s="41"/>
      <c r="Q28" s="41"/>
      <c r="R28" s="38"/>
      <c r="S28" s="51">
        <f>(J26-S29)/J26</f>
        <v>0.19275096311285028</v>
      </c>
      <c r="T28" s="51"/>
      <c r="U28" s="171">
        <f>1-(F26-S19-S23-S25)/F26</f>
        <v>0.16076849538852589</v>
      </c>
      <c r="V28" s="83"/>
      <c r="W28" s="53"/>
      <c r="X28" s="41"/>
      <c r="Y28" s="41"/>
      <c r="Z28" s="39"/>
      <c r="AA28" s="39"/>
      <c r="AB28" s="41"/>
      <c r="AC28" s="41"/>
      <c r="AD28" s="39"/>
    </row>
    <row r="29" spans="2:30" ht="24.95" customHeight="1" x14ac:dyDescent="0.25">
      <c r="B29" s="39"/>
      <c r="C29" s="41"/>
      <c r="D29" s="41"/>
      <c r="E29" s="39"/>
      <c r="F29" s="39"/>
      <c r="G29" s="39"/>
      <c r="H29" s="39"/>
      <c r="I29" s="41"/>
      <c r="J29" s="39"/>
      <c r="K29" s="39"/>
      <c r="L29" s="39"/>
      <c r="M29" s="79"/>
      <c r="N29" s="79"/>
      <c r="O29" s="79"/>
      <c r="P29" s="68"/>
      <c r="Q29" s="68"/>
      <c r="R29" s="46" t="s">
        <v>56</v>
      </c>
      <c r="S29" s="47">
        <f>J26-S19-S26</f>
        <v>36870.991265550016</v>
      </c>
      <c r="T29" s="50"/>
      <c r="U29" s="62"/>
      <c r="V29" s="39"/>
      <c r="W29" s="53"/>
      <c r="X29" s="41"/>
      <c r="Y29" s="41"/>
      <c r="Z29" s="39"/>
      <c r="AA29" s="39"/>
      <c r="AB29" s="41"/>
      <c r="AC29" s="41"/>
      <c r="AD29" s="39"/>
    </row>
    <row r="30" spans="2:30" ht="24.95" customHeight="1" thickBot="1" x14ac:dyDescent="0.3">
      <c r="B30" s="39"/>
      <c r="C30" s="41"/>
      <c r="D30" s="41"/>
      <c r="E30" s="39"/>
      <c r="F30" s="39"/>
      <c r="G30" s="39"/>
      <c r="H30" s="39"/>
      <c r="I30" s="41"/>
      <c r="J30" s="50"/>
      <c r="K30" s="50"/>
      <c r="L30" s="50"/>
      <c r="M30" s="50"/>
      <c r="N30" s="50"/>
      <c r="O30" s="50"/>
      <c r="P30" s="221"/>
      <c r="Q30" s="221"/>
      <c r="R30" s="39"/>
      <c r="S30" s="41"/>
      <c r="T30" s="41"/>
      <c r="U30" s="41"/>
      <c r="X30" s="41"/>
      <c r="Y30" s="41"/>
      <c r="Z30" s="39"/>
      <c r="AA30" s="39"/>
      <c r="AB30" s="41"/>
      <c r="AC30" s="41"/>
      <c r="AD30" s="39"/>
    </row>
    <row r="31" spans="2:30" ht="24.95" customHeight="1" thickBot="1" x14ac:dyDescent="0.3">
      <c r="B31" s="39"/>
      <c r="C31" s="41"/>
      <c r="D31" s="41"/>
      <c r="E31" s="39"/>
      <c r="F31" s="39"/>
      <c r="G31" s="39"/>
      <c r="H31" s="39"/>
      <c r="I31" s="41"/>
      <c r="J31" s="39"/>
      <c r="K31" s="39"/>
      <c r="L31" s="39"/>
      <c r="M31" s="39"/>
      <c r="N31" s="39"/>
      <c r="O31" s="39"/>
      <c r="P31" s="41"/>
      <c r="Q31" s="41"/>
      <c r="R31" s="46" t="s">
        <v>57</v>
      </c>
      <c r="S31" s="47">
        <f>S29/12</f>
        <v>3072.5826054625013</v>
      </c>
      <c r="T31" s="50"/>
      <c r="U31" s="41"/>
      <c r="V31" s="166" t="s">
        <v>146</v>
      </c>
      <c r="W31" s="165">
        <f>V26+V20</f>
        <v>5675.8743344499999</v>
      </c>
      <c r="X31" s="62">
        <f ca="1">SUMIFS(J4:J21,C4:C21,"&lt;"&amp;TODAY())/J26*(S19+S26)-U26-U20</f>
        <v>5675.8743344499999</v>
      </c>
      <c r="Y31" s="41"/>
      <c r="Z31" s="39"/>
      <c r="AA31" s="39"/>
      <c r="AB31" s="41"/>
      <c r="AC31" s="41"/>
      <c r="AD31" s="39"/>
    </row>
    <row r="32" spans="2:30" ht="24.95" customHeight="1" thickBot="1" x14ac:dyDescent="0.3">
      <c r="B32" s="39"/>
      <c r="C32" s="41"/>
      <c r="D32" s="41"/>
      <c r="E32" s="39"/>
      <c r="F32" s="39"/>
      <c r="G32" s="39"/>
      <c r="H32" s="39"/>
      <c r="I32" s="41"/>
      <c r="J32" s="39"/>
      <c r="K32" s="39"/>
      <c r="L32" s="39" t="s">
        <v>143</v>
      </c>
      <c r="M32" s="39"/>
      <c r="N32" s="61">
        <f>(S19+S26)*SUM(J4:J12)/J26-U26+'2024 reale'!U25</f>
        <v>2817.8468400603529</v>
      </c>
      <c r="O32" s="39"/>
      <c r="P32" s="41"/>
      <c r="Q32" s="41"/>
      <c r="R32" s="46" t="s">
        <v>94</v>
      </c>
      <c r="S32" s="47">
        <f>S31/13*12</f>
        <v>2836.230097350001</v>
      </c>
      <c r="T32" s="50"/>
      <c r="U32" s="41"/>
      <c r="V32" s="166" t="s">
        <v>108</v>
      </c>
      <c r="W32" s="165">
        <f>'2024 reale'!U19+'2024 reale'!U25</f>
        <v>-1.8849999999929423E-2</v>
      </c>
      <c r="X32" s="170">
        <f ca="1">W32+X31</f>
        <v>5675.8554844499995</v>
      </c>
      <c r="Y32" s="41"/>
      <c r="Z32" s="39"/>
      <c r="AA32" s="39"/>
      <c r="AB32" s="41"/>
      <c r="AC32" s="41"/>
      <c r="AD32" s="39"/>
    </row>
    <row r="33" spans="2:30" ht="24.95" customHeight="1" x14ac:dyDescent="0.25">
      <c r="B33" s="39"/>
      <c r="C33" s="41"/>
      <c r="D33" s="41"/>
      <c r="E33" s="39"/>
      <c r="F33" s="39"/>
      <c r="G33" s="39"/>
      <c r="H33" s="39"/>
      <c r="I33" s="41"/>
      <c r="J33" s="39"/>
      <c r="K33" s="39"/>
      <c r="L33" s="39"/>
      <c r="M33" s="39"/>
      <c r="N33" s="39"/>
      <c r="O33" s="39"/>
      <c r="P33" s="41"/>
      <c r="Q33" s="41"/>
      <c r="R33" s="39"/>
      <c r="S33" s="39"/>
      <c r="T33" s="39"/>
      <c r="U33" s="1"/>
      <c r="W33" s="41"/>
      <c r="X33" s="41"/>
      <c r="Y33" s="41"/>
      <c r="Z33" s="39"/>
      <c r="AA33" s="39"/>
      <c r="AB33" s="41"/>
      <c r="AC33" s="41"/>
      <c r="AD33" s="39"/>
    </row>
    <row r="34" spans="2:30" ht="24.95" customHeight="1" x14ac:dyDescent="0.25">
      <c r="R34" s="39" t="s">
        <v>110</v>
      </c>
      <c r="S34" s="176">
        <f>S35*0.78*0+26639</f>
        <v>26639</v>
      </c>
      <c r="T34" s="39" t="s">
        <v>117</v>
      </c>
      <c r="U34" s="39"/>
      <c r="V34" s="39"/>
    </row>
    <row r="35" spans="2:30" ht="24.95" customHeight="1" x14ac:dyDescent="0.25">
      <c r="R35" s="39" t="s">
        <v>111</v>
      </c>
      <c r="S35" s="176">
        <f>(SUM(F4:F30)+SUM(I4:I30))*0+34152</f>
        <v>34152</v>
      </c>
      <c r="T35" s="39" t="s">
        <v>116</v>
      </c>
      <c r="U35" s="39"/>
    </row>
    <row r="36" spans="2:30" ht="24.95" customHeight="1" x14ac:dyDescent="0.25">
      <c r="R36" s="39" t="s">
        <v>112</v>
      </c>
      <c r="S36" s="173">
        <f>SUMIFS(F4:F25,K4:K25,T36)+SUMIFS(I4:I25,K4:K25,T36)</f>
        <v>43918.14</v>
      </c>
      <c r="T36" s="39" t="str">
        <f>""</f>
        <v/>
      </c>
      <c r="U36" s="39"/>
    </row>
    <row r="37" spans="2:30" ht="24.95" customHeight="1" x14ac:dyDescent="0.25">
      <c r="R37" s="39" t="s">
        <v>113</v>
      </c>
      <c r="S37" s="173">
        <f>SUMIFS(F4:F25,K4:K25,T37)+SUMIFS(I4:I25,K4:K25,T37)</f>
        <v>0</v>
      </c>
      <c r="T37" s="39" t="s">
        <v>22</v>
      </c>
      <c r="U37" s="177" t="s">
        <v>118</v>
      </c>
      <c r="V37" s="179"/>
    </row>
    <row r="38" spans="2:30" ht="24.95" customHeight="1" x14ac:dyDescent="0.25">
      <c r="R38" s="39" t="s">
        <v>114</v>
      </c>
      <c r="S38" s="174">
        <f>S36</f>
        <v>43918.14</v>
      </c>
      <c r="T38" s="39"/>
      <c r="U38" s="178">
        <f>S35-S36-S37</f>
        <v>-9766.14</v>
      </c>
      <c r="V38" s="52" t="s">
        <v>119</v>
      </c>
    </row>
    <row r="39" spans="2:30" ht="24.95" customHeight="1" x14ac:dyDescent="0.25">
      <c r="R39" s="39" t="s">
        <v>115</v>
      </c>
      <c r="S39" s="175">
        <f>H27</f>
        <v>0</v>
      </c>
      <c r="T39" s="1"/>
      <c r="U39" s="1"/>
    </row>
  </sheetData>
  <mergeCells count="2">
    <mergeCell ref="C1:J1"/>
    <mergeCell ref="C2:J2"/>
  </mergeCells>
  <phoneticPr fontId="1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EBD5-CB5C-4A1F-9685-AACBE8DBD2BF}">
  <dimension ref="B1:AE39"/>
  <sheetViews>
    <sheetView showGridLines="0" zoomScale="85" zoomScaleNormal="85" workbookViewId="0">
      <selection activeCell="M21" sqref="M21"/>
    </sheetView>
  </sheetViews>
  <sheetFormatPr defaultColWidth="9.140625" defaultRowHeight="24.95" customHeight="1" x14ac:dyDescent="0.25"/>
  <cols>
    <col min="1" max="1" width="3.42578125" style="1" customWidth="1"/>
    <col min="2" max="2" width="9.140625" style="1" customWidth="1"/>
    <col min="3" max="3" width="8.140625" style="2" customWidth="1"/>
    <col min="4" max="4" width="12.85546875" style="2" customWidth="1"/>
    <col min="5" max="5" width="12.28515625" style="2" customWidth="1"/>
    <col min="6" max="6" width="12.42578125" style="1" customWidth="1"/>
    <col min="7" max="7" width="14.28515625" style="1" customWidth="1"/>
    <col min="8" max="8" width="12.28515625" style="1" hidden="1" customWidth="1"/>
    <col min="9" max="9" width="10.7109375" style="1" customWidth="1"/>
    <col min="10" max="10" width="11.28515625" style="2" customWidth="1"/>
    <col min="11" max="13" width="10.140625" style="1" customWidth="1"/>
    <col min="14" max="14" width="9.140625" style="1" customWidth="1"/>
    <col min="15" max="15" width="9.5703125" style="1" bestFit="1" customWidth="1"/>
    <col min="16" max="16" width="5.42578125" style="1" customWidth="1"/>
    <col min="17" max="17" width="10.5703125" style="2" customWidth="1"/>
    <col min="18" max="18" width="16" style="2" customWidth="1"/>
    <col min="19" max="19" width="25" style="1" customWidth="1"/>
    <col min="20" max="21" width="18" style="2" customWidth="1"/>
    <col min="22" max="22" width="23" style="2" customWidth="1"/>
    <col min="23" max="23" width="22" style="1" customWidth="1"/>
    <col min="24" max="24" width="17.42578125" style="2" customWidth="1"/>
    <col min="25" max="25" width="24.140625" style="2" customWidth="1"/>
    <col min="26" max="26" width="17.140625" style="2" customWidth="1"/>
    <col min="27" max="27" width="9.42578125" style="1" customWidth="1"/>
    <col min="28" max="28" width="13.7109375" style="1" customWidth="1"/>
    <col min="29" max="29" width="12.85546875" style="2" customWidth="1"/>
    <col min="30" max="30" width="11.42578125" style="2" customWidth="1"/>
    <col min="31" max="16384" width="9.140625" style="1"/>
  </cols>
  <sheetData>
    <row r="1" spans="2:31" ht="28.5" customHeight="1" x14ac:dyDescent="0.25">
      <c r="B1" s="39"/>
      <c r="C1" s="229" t="s">
        <v>0</v>
      </c>
      <c r="D1" s="229"/>
      <c r="E1" s="229"/>
      <c r="F1" s="229"/>
      <c r="G1" s="229"/>
      <c r="H1" s="229"/>
      <c r="I1" s="229"/>
      <c r="J1" s="229"/>
      <c r="K1" s="229"/>
      <c r="L1" s="86"/>
      <c r="M1" s="86"/>
      <c r="N1" s="39"/>
      <c r="O1" s="39"/>
      <c r="P1" s="39"/>
      <c r="Q1" s="41"/>
      <c r="R1" s="41"/>
      <c r="S1" s="39"/>
      <c r="T1" s="41"/>
      <c r="U1" s="41"/>
      <c r="V1" s="41"/>
      <c r="W1" s="39"/>
      <c r="X1" s="41"/>
      <c r="Y1" s="41"/>
      <c r="Z1" s="41"/>
      <c r="AA1" s="39"/>
      <c r="AB1" s="39"/>
      <c r="AC1" s="41"/>
      <c r="AD1" s="41"/>
      <c r="AE1" s="39"/>
    </row>
    <row r="2" spans="2:31" ht="13.5" customHeight="1" x14ac:dyDescent="0.25">
      <c r="B2" s="39"/>
      <c r="C2" s="230" t="s">
        <v>132</v>
      </c>
      <c r="D2" s="230"/>
      <c r="E2" s="230"/>
      <c r="F2" s="230"/>
      <c r="G2" s="230"/>
      <c r="H2" s="230" t="s">
        <v>2</v>
      </c>
      <c r="I2" s="230"/>
      <c r="J2" s="230"/>
      <c r="K2" s="230"/>
      <c r="L2" s="18"/>
      <c r="M2" s="18"/>
      <c r="N2" s="39"/>
      <c r="O2" s="39"/>
      <c r="P2" s="39"/>
      <c r="Q2" s="41"/>
      <c r="R2" s="41"/>
      <c r="S2" s="39"/>
      <c r="T2" s="41"/>
      <c r="U2" s="41"/>
      <c r="V2" s="41"/>
      <c r="W2" s="39"/>
      <c r="X2" s="41"/>
      <c r="Y2" s="41"/>
      <c r="Z2" s="41"/>
      <c r="AA2" s="39"/>
      <c r="AB2" s="39"/>
      <c r="AC2" s="41"/>
      <c r="AD2" s="41"/>
      <c r="AE2" s="39"/>
    </row>
    <row r="3" spans="2:31" ht="47.45" customHeight="1" x14ac:dyDescent="0.2">
      <c r="B3" s="5" t="s">
        <v>88</v>
      </c>
      <c r="C3" s="207" t="s">
        <v>133</v>
      </c>
      <c r="D3" s="208" t="s">
        <v>134</v>
      </c>
      <c r="E3" s="14" t="s">
        <v>86</v>
      </c>
      <c r="F3" s="7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9" t="s">
        <v>16</v>
      </c>
      <c r="L3" s="10" t="s">
        <v>135</v>
      </c>
      <c r="M3" s="208" t="s">
        <v>138</v>
      </c>
      <c r="N3" s="208" t="s">
        <v>136</v>
      </c>
      <c r="O3" s="208" t="s">
        <v>140</v>
      </c>
      <c r="P3" s="208" t="s">
        <v>137</v>
      </c>
      <c r="Q3" s="208" t="s">
        <v>147</v>
      </c>
      <c r="R3" s="222"/>
      <c r="S3" s="39"/>
      <c r="T3" s="39"/>
      <c r="U3" s="39"/>
      <c r="V3" s="41"/>
      <c r="W3" s="39"/>
      <c r="X3" s="41"/>
      <c r="Y3" s="37"/>
      <c r="Z3" s="37"/>
      <c r="AA3" s="18"/>
      <c r="AB3" s="39"/>
      <c r="AC3" s="41"/>
      <c r="AD3" s="41"/>
      <c r="AE3" s="39"/>
    </row>
    <row r="4" spans="2:31" ht="21" customHeight="1" x14ac:dyDescent="0.25">
      <c r="B4" s="156">
        <v>17</v>
      </c>
      <c r="C4" s="130"/>
      <c r="D4" s="133">
        <v>46022</v>
      </c>
      <c r="E4" s="131" t="s">
        <v>83</v>
      </c>
      <c r="F4" s="134" t="s">
        <v>27</v>
      </c>
      <c r="G4" s="135">
        <f>M4*$T$7</f>
        <v>2145</v>
      </c>
      <c r="H4" s="136">
        <v>0</v>
      </c>
      <c r="I4" s="136">
        <f t="shared" ref="I4:I5" si="0">IF(L4="x",0,0.04*(J4+G4))</f>
        <v>85.88</v>
      </c>
      <c r="J4" s="136">
        <v>2</v>
      </c>
      <c r="K4" s="137">
        <f t="shared" ref="K4:K8" si="1">G4+I4+J4</f>
        <v>2232.88</v>
      </c>
      <c r="L4" s="137"/>
      <c r="M4" s="226">
        <f>N4-O4+P4</f>
        <v>13</v>
      </c>
      <c r="N4" s="209">
        <v>20</v>
      </c>
      <c r="O4" s="225">
        <v>7</v>
      </c>
      <c r="P4" s="213"/>
      <c r="Q4" s="225"/>
      <c r="R4" s="169"/>
      <c r="S4" s="61"/>
      <c r="T4" s="62"/>
      <c r="U4" s="41"/>
      <c r="V4" s="41"/>
      <c r="W4" s="39"/>
      <c r="X4" s="59"/>
      <c r="Y4" s="53"/>
      <c r="Z4" s="41"/>
      <c r="AA4" s="80"/>
      <c r="AB4" s="81"/>
      <c r="AC4" s="53"/>
      <c r="AD4" s="53"/>
      <c r="AE4" s="39"/>
    </row>
    <row r="5" spans="2:31" ht="21" customHeight="1" x14ac:dyDescent="0.25">
      <c r="B5" s="157">
        <v>1</v>
      </c>
      <c r="C5" s="31"/>
      <c r="D5" s="26">
        <v>46053</v>
      </c>
      <c r="E5" s="32" t="s">
        <v>72</v>
      </c>
      <c r="F5" s="48" t="s">
        <v>27</v>
      </c>
      <c r="G5" s="24">
        <f t="shared" ref="G5:G7" si="2">M5*$T$7</f>
        <v>3135</v>
      </c>
      <c r="H5" s="57">
        <v>0</v>
      </c>
      <c r="I5" s="57">
        <f t="shared" si="0"/>
        <v>125.48</v>
      </c>
      <c r="J5" s="57">
        <v>2</v>
      </c>
      <c r="K5" s="58">
        <f t="shared" si="1"/>
        <v>3262.48</v>
      </c>
      <c r="L5" s="58"/>
      <c r="M5" s="227">
        <f>N5-O5+P5+Q5</f>
        <v>19</v>
      </c>
      <c r="N5" s="210">
        <v>21</v>
      </c>
      <c r="O5" s="215">
        <v>3</v>
      </c>
      <c r="P5" s="215"/>
      <c r="Q5" s="215">
        <v>1</v>
      </c>
      <c r="R5" s="169"/>
      <c r="S5" s="39"/>
      <c r="T5" s="59"/>
      <c r="U5" s="59"/>
      <c r="V5" s="59"/>
      <c r="W5" s="41"/>
      <c r="X5" s="80"/>
      <c r="Y5" s="81"/>
      <c r="Z5" s="53"/>
      <c r="AA5" s="53"/>
      <c r="AB5" s="39"/>
      <c r="AC5" s="1"/>
      <c r="AD5" s="1"/>
    </row>
    <row r="6" spans="2:31" ht="21" customHeight="1" x14ac:dyDescent="0.25">
      <c r="B6" s="157">
        <v>2</v>
      </c>
      <c r="C6" s="31"/>
      <c r="D6" s="26">
        <v>46081</v>
      </c>
      <c r="E6" s="32" t="s">
        <v>73</v>
      </c>
      <c r="F6" s="48" t="s">
        <v>27</v>
      </c>
      <c r="G6" s="24">
        <f t="shared" si="2"/>
        <v>3135</v>
      </c>
      <c r="H6" s="57">
        <v>0</v>
      </c>
      <c r="I6" s="57">
        <f>IF(L6="x",0,0.04*(J6+G6))</f>
        <v>125.48</v>
      </c>
      <c r="J6" s="57">
        <v>2</v>
      </c>
      <c r="K6" s="58">
        <f>G6+I6+J6</f>
        <v>3262.48</v>
      </c>
      <c r="L6" s="58"/>
      <c r="M6" s="227">
        <f t="shared" ref="M6:M7" si="3">N6-O6+P6+Q6</f>
        <v>19</v>
      </c>
      <c r="N6" s="210">
        <v>20</v>
      </c>
      <c r="O6" s="215">
        <v>1.5</v>
      </c>
      <c r="P6" s="215"/>
      <c r="Q6" s="215">
        <v>0.5</v>
      </c>
      <c r="R6" s="80"/>
      <c r="S6" s="39"/>
      <c r="T6" s="59"/>
      <c r="U6" s="59"/>
      <c r="V6" s="169"/>
      <c r="W6" s="41"/>
      <c r="X6" s="80"/>
      <c r="Y6" s="81"/>
      <c r="Z6" s="53"/>
      <c r="AA6" s="53"/>
      <c r="AB6" s="39"/>
      <c r="AC6" s="1"/>
      <c r="AD6" s="1"/>
    </row>
    <row r="7" spans="2:31" ht="21" customHeight="1" x14ac:dyDescent="0.25">
      <c r="B7" s="157">
        <v>3</v>
      </c>
      <c r="C7" s="31"/>
      <c r="D7" s="26">
        <v>46112</v>
      </c>
      <c r="E7" s="32" t="s">
        <v>74</v>
      </c>
      <c r="F7" s="48" t="s">
        <v>27</v>
      </c>
      <c r="G7" s="24">
        <f t="shared" si="2"/>
        <v>3465</v>
      </c>
      <c r="H7" s="57">
        <v>0</v>
      </c>
      <c r="I7" s="57">
        <f>IF(L7="x",0,0.04*(J7+G7))</f>
        <v>138.68</v>
      </c>
      <c r="J7" s="57">
        <v>2</v>
      </c>
      <c r="K7" s="58">
        <f t="shared" si="1"/>
        <v>3605.68</v>
      </c>
      <c r="L7" s="58"/>
      <c r="M7" s="227">
        <f t="shared" si="3"/>
        <v>21</v>
      </c>
      <c r="N7" s="210">
        <v>21</v>
      </c>
      <c r="O7" s="215"/>
      <c r="P7" s="215"/>
      <c r="Q7" s="215"/>
      <c r="R7" s="80"/>
      <c r="S7" s="211" t="s">
        <v>141</v>
      </c>
      <c r="T7" s="212">
        <v>165</v>
      </c>
      <c r="U7" s="59"/>
      <c r="V7" s="59"/>
      <c r="W7" s="41"/>
      <c r="X7" s="80"/>
      <c r="Y7" s="39"/>
      <c r="Z7" s="82"/>
      <c r="AA7" s="53"/>
      <c r="AB7" s="39"/>
      <c r="AC7" s="1"/>
      <c r="AD7" s="1"/>
    </row>
    <row r="8" spans="2:31" ht="21" customHeight="1" x14ac:dyDescent="0.25">
      <c r="B8" s="157">
        <v>4</v>
      </c>
      <c r="C8" s="31"/>
      <c r="D8" s="26">
        <v>46146</v>
      </c>
      <c r="E8" s="32" t="s">
        <v>75</v>
      </c>
      <c r="F8" s="48" t="s">
        <v>156</v>
      </c>
      <c r="G8" s="24">
        <v>5000</v>
      </c>
      <c r="H8" s="57">
        <v>0</v>
      </c>
      <c r="I8" s="57">
        <f>IF(L8="x",0,0.04*(J8+G8))</f>
        <v>200.08</v>
      </c>
      <c r="J8" s="57">
        <v>2</v>
      </c>
      <c r="K8" s="58">
        <f t="shared" si="1"/>
        <v>5202.08</v>
      </c>
      <c r="L8" s="58"/>
      <c r="M8" s="227"/>
      <c r="N8" s="210"/>
      <c r="O8" s="215"/>
      <c r="P8" s="215"/>
      <c r="Q8" s="215"/>
      <c r="R8" s="80"/>
      <c r="S8" s="211" t="s">
        <v>155</v>
      </c>
      <c r="T8" s="212">
        <v>180</v>
      </c>
      <c r="U8" s="59"/>
      <c r="V8" s="59"/>
      <c r="W8" s="41"/>
      <c r="X8" s="80"/>
      <c r="Y8" s="39"/>
      <c r="Z8" s="82"/>
      <c r="AA8" s="53"/>
      <c r="AB8" s="39"/>
      <c r="AC8" s="1"/>
      <c r="AD8" s="1"/>
    </row>
    <row r="9" spans="2:31" ht="21" customHeight="1" x14ac:dyDescent="0.25">
      <c r="B9" s="157">
        <v>5</v>
      </c>
      <c r="C9" s="31"/>
      <c r="D9" s="26">
        <v>46142</v>
      </c>
      <c r="E9" s="32" t="s">
        <v>75</v>
      </c>
      <c r="F9" s="48" t="s">
        <v>27</v>
      </c>
      <c r="G9" s="24">
        <f t="shared" ref="G9" si="4">M9*$T$7</f>
        <v>2970</v>
      </c>
      <c r="H9" s="57">
        <v>0</v>
      </c>
      <c r="I9" s="57">
        <f>IF(L9="x",0,0.04*(J9+G9))</f>
        <v>118.88</v>
      </c>
      <c r="J9" s="57">
        <v>2</v>
      </c>
      <c r="K9" s="58">
        <f t="shared" ref="K9:K13" si="5">G9+I9+J9</f>
        <v>3090.88</v>
      </c>
      <c r="L9" s="58"/>
      <c r="M9" s="227">
        <f t="shared" ref="M9:M16" si="6">N9-O9+P9+Q9</f>
        <v>18</v>
      </c>
      <c r="N9" s="210">
        <v>20</v>
      </c>
      <c r="O9" s="215">
        <v>2.5</v>
      </c>
      <c r="P9" s="215"/>
      <c r="Q9" s="215">
        <v>0.5</v>
      </c>
      <c r="R9" s="80"/>
      <c r="S9" s="39"/>
      <c r="T9" s="59"/>
      <c r="U9" s="59"/>
      <c r="V9" s="161"/>
      <c r="W9" s="41"/>
      <c r="X9" s="80"/>
      <c r="Y9" s="39"/>
      <c r="Z9" s="82"/>
      <c r="AA9" s="53"/>
      <c r="AB9" s="39"/>
      <c r="AC9" s="1"/>
      <c r="AD9" s="1"/>
    </row>
    <row r="10" spans="2:31" ht="21" customHeight="1" x14ac:dyDescent="0.25">
      <c r="B10" s="157">
        <v>7</v>
      </c>
      <c r="C10" s="33"/>
      <c r="D10" s="26">
        <v>46173</v>
      </c>
      <c r="E10" s="32" t="s">
        <v>76</v>
      </c>
      <c r="F10" s="48" t="s">
        <v>27</v>
      </c>
      <c r="G10" s="24">
        <f>M10*$T$7</f>
        <v>3217.5</v>
      </c>
      <c r="H10" s="57">
        <v>0</v>
      </c>
      <c r="I10" s="57">
        <f t="shared" ref="I10:I13" si="7">IF(L10="x",0,0.04*(J10+G10))</f>
        <v>128.78</v>
      </c>
      <c r="J10" s="57">
        <v>2</v>
      </c>
      <c r="K10" s="58">
        <f t="shared" si="5"/>
        <v>3348.28</v>
      </c>
      <c r="L10" s="58"/>
      <c r="M10" s="227">
        <f t="shared" si="6"/>
        <v>19.5</v>
      </c>
      <c r="N10" s="210">
        <v>21</v>
      </c>
      <c r="O10" s="215">
        <v>1.5</v>
      </c>
      <c r="P10" s="215"/>
      <c r="Q10" s="215"/>
      <c r="R10" s="80"/>
      <c r="S10" s="39"/>
      <c r="V10" s="59"/>
      <c r="W10" s="41"/>
      <c r="X10" s="80"/>
      <c r="Y10" s="39"/>
      <c r="Z10" s="82"/>
      <c r="AA10" s="53"/>
      <c r="AB10" s="39"/>
      <c r="AC10" s="1"/>
      <c r="AD10" s="1"/>
    </row>
    <row r="11" spans="2:31" ht="21" customHeight="1" x14ac:dyDescent="0.25">
      <c r="B11" s="157">
        <v>9</v>
      </c>
      <c r="C11" s="33"/>
      <c r="D11" s="26">
        <v>46203</v>
      </c>
      <c r="E11" s="32" t="s">
        <v>77</v>
      </c>
      <c r="F11" s="48" t="s">
        <v>27</v>
      </c>
      <c r="G11" s="24">
        <f t="shared" ref="G11:G16" si="8">M11*$T$8</f>
        <v>3510</v>
      </c>
      <c r="H11" s="57">
        <v>0</v>
      </c>
      <c r="I11" s="57">
        <f t="shared" si="7"/>
        <v>140.47999999999999</v>
      </c>
      <c r="J11" s="57">
        <v>2</v>
      </c>
      <c r="K11" s="58">
        <f t="shared" si="5"/>
        <v>3652.48</v>
      </c>
      <c r="L11" s="58"/>
      <c r="M11" s="227">
        <f t="shared" si="6"/>
        <v>19.5</v>
      </c>
      <c r="N11" s="223">
        <v>20</v>
      </c>
      <c r="O11" s="215">
        <v>0.5</v>
      </c>
      <c r="P11" s="215"/>
      <c r="Q11" s="215"/>
      <c r="R11" s="80"/>
      <c r="S11" s="3" t="s">
        <v>31</v>
      </c>
      <c r="T11" s="18">
        <v>0.78</v>
      </c>
      <c r="U11" s="18"/>
      <c r="W11" s="39"/>
      <c r="X11" s="59"/>
      <c r="Y11" s="59"/>
      <c r="Z11" s="41"/>
      <c r="AA11" s="80"/>
      <c r="AB11" s="39"/>
      <c r="AC11" s="82"/>
      <c r="AD11" s="53"/>
      <c r="AE11" s="39"/>
    </row>
    <row r="12" spans="2:31" ht="21" customHeight="1" x14ac:dyDescent="0.25">
      <c r="B12" s="157">
        <v>10</v>
      </c>
      <c r="C12" s="33"/>
      <c r="D12" s="26">
        <v>46234</v>
      </c>
      <c r="E12" s="32" t="s">
        <v>78</v>
      </c>
      <c r="F12" s="48" t="s">
        <v>27</v>
      </c>
      <c r="G12" s="24">
        <f t="shared" si="8"/>
        <v>4230</v>
      </c>
      <c r="H12" s="57">
        <v>0</v>
      </c>
      <c r="I12" s="57">
        <f t="shared" si="7"/>
        <v>169.28</v>
      </c>
      <c r="J12" s="57">
        <v>2</v>
      </c>
      <c r="K12" s="58">
        <f t="shared" si="5"/>
        <v>4401.28</v>
      </c>
      <c r="L12" s="58"/>
      <c r="M12" s="227">
        <f t="shared" si="6"/>
        <v>23.5</v>
      </c>
      <c r="N12" s="223">
        <v>23</v>
      </c>
      <c r="O12" s="215"/>
      <c r="P12" s="215">
        <v>0.5</v>
      </c>
      <c r="Q12" s="215"/>
      <c r="R12" s="80"/>
      <c r="S12" s="39"/>
      <c r="T12" s="17" t="s">
        <v>32</v>
      </c>
      <c r="U12" s="62"/>
      <c r="W12" s="17"/>
      <c r="X12" s="59"/>
      <c r="Y12" s="59"/>
      <c r="Z12" s="41"/>
      <c r="AA12" s="80"/>
      <c r="AB12" s="39"/>
      <c r="AC12" s="82"/>
      <c r="AD12" s="53"/>
      <c r="AE12" s="39"/>
    </row>
    <row r="13" spans="2:31" ht="21" customHeight="1" x14ac:dyDescent="0.25">
      <c r="B13" s="157">
        <v>11</v>
      </c>
      <c r="C13" s="33"/>
      <c r="D13" s="26">
        <v>46265</v>
      </c>
      <c r="E13" s="32" t="s">
        <v>79</v>
      </c>
      <c r="F13" s="48" t="s">
        <v>27</v>
      </c>
      <c r="G13" s="24">
        <f t="shared" si="8"/>
        <v>1800</v>
      </c>
      <c r="H13" s="57">
        <v>0</v>
      </c>
      <c r="I13" s="57">
        <f t="shared" si="7"/>
        <v>72.08</v>
      </c>
      <c r="J13" s="57">
        <v>2</v>
      </c>
      <c r="K13" s="58">
        <f t="shared" si="5"/>
        <v>1874.08</v>
      </c>
      <c r="L13" s="58"/>
      <c r="M13" s="227">
        <f t="shared" si="6"/>
        <v>10</v>
      </c>
      <c r="N13" s="223">
        <v>20</v>
      </c>
      <c r="O13" s="215">
        <v>10</v>
      </c>
      <c r="P13" s="215"/>
      <c r="Q13" s="215"/>
      <c r="R13" s="80"/>
      <c r="S13" s="36" t="s">
        <v>33</v>
      </c>
      <c r="T13" s="62">
        <f>G21</f>
        <v>44487.5</v>
      </c>
      <c r="U13" s="62"/>
      <c r="W13" s="3"/>
      <c r="X13" s="59"/>
      <c r="Y13" s="59"/>
      <c r="Z13" s="41"/>
      <c r="AA13" s="80"/>
      <c r="AB13" s="39"/>
      <c r="AC13" s="82"/>
      <c r="AD13" s="53"/>
      <c r="AE13" s="39"/>
    </row>
    <row r="14" spans="2:31" ht="21" customHeight="1" x14ac:dyDescent="0.25">
      <c r="B14" s="157">
        <v>12</v>
      </c>
      <c r="C14" s="33"/>
      <c r="D14" s="26">
        <v>46295</v>
      </c>
      <c r="E14" s="32" t="s">
        <v>80</v>
      </c>
      <c r="F14" s="48" t="s">
        <v>27</v>
      </c>
      <c r="G14" s="24">
        <f t="shared" si="8"/>
        <v>4050</v>
      </c>
      <c r="H14" s="57">
        <v>0</v>
      </c>
      <c r="I14" s="57">
        <f>IF(L14="x",0,0.04*(J14+G14))</f>
        <v>162.08000000000001</v>
      </c>
      <c r="J14" s="57">
        <v>2</v>
      </c>
      <c r="K14" s="58">
        <f>G14+I14+J14</f>
        <v>4214.08</v>
      </c>
      <c r="L14" s="58"/>
      <c r="M14" s="227">
        <f t="shared" si="6"/>
        <v>22.5</v>
      </c>
      <c r="N14" s="223">
        <v>22</v>
      </c>
      <c r="O14" s="215"/>
      <c r="P14" s="215">
        <v>0.5</v>
      </c>
      <c r="Q14" s="215"/>
      <c r="R14" s="80"/>
      <c r="S14" s="39" t="s">
        <v>35</v>
      </c>
      <c r="T14" s="62">
        <f>T13+SUM(J4:J19)</f>
        <v>44513.5</v>
      </c>
      <c r="U14" s="62"/>
      <c r="W14" s="36"/>
      <c r="X14" s="59"/>
      <c r="Y14" s="41"/>
      <c r="Z14" s="63"/>
      <c r="AA14" s="63"/>
      <c r="AB14" s="39"/>
      <c r="AC14" s="82"/>
      <c r="AD14" s="53"/>
      <c r="AE14" s="39"/>
    </row>
    <row r="15" spans="2:31" ht="21" customHeight="1" x14ac:dyDescent="0.25">
      <c r="B15" s="157">
        <v>13</v>
      </c>
      <c r="C15" s="33"/>
      <c r="D15" s="26">
        <v>46326</v>
      </c>
      <c r="E15" s="32" t="s">
        <v>81</v>
      </c>
      <c r="F15" s="48" t="s">
        <v>27</v>
      </c>
      <c r="G15" s="24">
        <f t="shared" si="8"/>
        <v>4140</v>
      </c>
      <c r="H15" s="57">
        <v>0</v>
      </c>
      <c r="I15" s="57">
        <f>IF(L15="x",0,0.04*(J15+G15))</f>
        <v>165.68</v>
      </c>
      <c r="J15" s="57">
        <v>2</v>
      </c>
      <c r="K15" s="58">
        <f t="shared" ref="K15:K16" si="9">G15+I15+J15</f>
        <v>4307.68</v>
      </c>
      <c r="L15" s="58"/>
      <c r="M15" s="227">
        <f t="shared" si="6"/>
        <v>23</v>
      </c>
      <c r="N15" s="223">
        <v>23</v>
      </c>
      <c r="O15" s="215"/>
      <c r="P15" s="215"/>
      <c r="Q15" s="215"/>
      <c r="R15" s="80"/>
      <c r="S15" s="36" t="s">
        <v>37</v>
      </c>
      <c r="T15" s="62"/>
      <c r="W15" s="36"/>
      <c r="X15" s="59"/>
      <c r="Y15" s="41"/>
      <c r="Z15" s="63"/>
      <c r="AA15" s="63"/>
      <c r="AB15" s="39"/>
      <c r="AC15" s="41"/>
      <c r="AD15" s="53"/>
      <c r="AE15" s="39"/>
    </row>
    <row r="16" spans="2:31" ht="21" customHeight="1" x14ac:dyDescent="0.25">
      <c r="B16" s="157">
        <v>14</v>
      </c>
      <c r="C16" s="33"/>
      <c r="D16" s="26">
        <v>46356</v>
      </c>
      <c r="E16" s="32" t="s">
        <v>82</v>
      </c>
      <c r="F16" s="48" t="s">
        <v>27</v>
      </c>
      <c r="G16" s="24">
        <f t="shared" si="8"/>
        <v>3690</v>
      </c>
      <c r="H16" s="57">
        <v>0</v>
      </c>
      <c r="I16" s="57">
        <f t="shared" ref="I16" si="10">IF(L16="x",0,0.04*(J16+G16))</f>
        <v>147.68</v>
      </c>
      <c r="J16" s="57">
        <v>2</v>
      </c>
      <c r="K16" s="58">
        <f t="shared" si="9"/>
        <v>3839.68</v>
      </c>
      <c r="L16" s="58"/>
      <c r="M16" s="227">
        <f t="shared" si="6"/>
        <v>20.5</v>
      </c>
      <c r="N16" s="223">
        <v>20</v>
      </c>
      <c r="O16" s="215"/>
      <c r="P16" s="215">
        <v>0.5</v>
      </c>
      <c r="Q16" s="215"/>
      <c r="R16" s="80"/>
      <c r="S16" s="36" t="s">
        <v>38</v>
      </c>
      <c r="T16" s="62">
        <f>0.78*T14</f>
        <v>34720.53</v>
      </c>
      <c r="W16" s="36"/>
      <c r="X16" s="41"/>
      <c r="Y16" s="41"/>
      <c r="Z16" s="63"/>
      <c r="AA16" s="63"/>
      <c r="AB16" s="39"/>
      <c r="AC16" s="41"/>
      <c r="AD16" s="41"/>
      <c r="AE16" s="39"/>
    </row>
    <row r="17" spans="2:31" ht="21" customHeight="1" x14ac:dyDescent="0.25">
      <c r="B17" s="157"/>
      <c r="C17" s="33"/>
      <c r="D17" s="26"/>
      <c r="E17" s="32"/>
      <c r="F17" s="48"/>
      <c r="G17" s="24"/>
      <c r="H17" s="57"/>
      <c r="I17" s="57"/>
      <c r="J17" s="57"/>
      <c r="K17" s="58"/>
      <c r="L17" s="58"/>
      <c r="M17" s="58"/>
      <c r="N17" s="58"/>
      <c r="O17" s="58"/>
      <c r="P17" s="215"/>
      <c r="Q17" s="215"/>
      <c r="R17" s="80"/>
      <c r="S17" s="36"/>
      <c r="T17" s="62"/>
      <c r="W17" s="36"/>
      <c r="X17" s="41"/>
      <c r="Y17" s="41"/>
      <c r="Z17" s="63"/>
      <c r="AA17" s="63"/>
      <c r="AB17" s="39"/>
      <c r="AC17" s="41"/>
      <c r="AD17" s="41"/>
      <c r="AE17" s="39"/>
    </row>
    <row r="18" spans="2:31" ht="21" customHeight="1" x14ac:dyDescent="0.25">
      <c r="B18" s="26"/>
      <c r="C18" s="31"/>
      <c r="D18" s="32"/>
      <c r="E18" s="32"/>
      <c r="F18" s="48"/>
      <c r="G18" s="24"/>
      <c r="H18" s="60"/>
      <c r="I18" s="60"/>
      <c r="J18" s="60"/>
      <c r="K18" s="58"/>
      <c r="L18" s="58"/>
      <c r="M18" s="58"/>
      <c r="N18" s="58"/>
      <c r="O18" s="58"/>
      <c r="P18" s="215"/>
      <c r="Q18" s="215"/>
      <c r="R18" s="80"/>
      <c r="S18" s="36"/>
      <c r="T18" s="62"/>
      <c r="W18" s="36"/>
      <c r="X18" s="41"/>
      <c r="Y18" s="41"/>
      <c r="Z18" s="63"/>
      <c r="AA18" s="63"/>
      <c r="AB18" s="39"/>
      <c r="AC18" s="41"/>
      <c r="AD18" s="41"/>
      <c r="AE18" s="39"/>
    </row>
    <row r="19" spans="2:31" ht="21" customHeight="1" x14ac:dyDescent="0.25">
      <c r="B19" s="29"/>
      <c r="C19" s="34"/>
      <c r="D19" s="35"/>
      <c r="E19" s="35"/>
      <c r="F19" s="72"/>
      <c r="G19" s="25"/>
      <c r="H19" s="73"/>
      <c r="I19" s="73"/>
      <c r="J19" s="73"/>
      <c r="K19" s="74"/>
      <c r="L19" s="74"/>
      <c r="M19" s="74"/>
      <c r="N19" s="74"/>
      <c r="O19" s="74"/>
      <c r="P19" s="216"/>
      <c r="Q19" s="216"/>
      <c r="R19" s="80"/>
      <c r="S19" s="36" t="s">
        <v>39</v>
      </c>
      <c r="T19" s="4">
        <f>0.15*(T16-T26)</f>
        <v>4175.0269724999998</v>
      </c>
      <c r="V19" s="128" t="s">
        <v>64</v>
      </c>
      <c r="W19" s="128" t="s">
        <v>66</v>
      </c>
      <c r="Y19" s="41"/>
      <c r="Z19" s="63"/>
      <c r="AA19" s="63"/>
      <c r="AB19" s="39"/>
      <c r="AC19" s="41"/>
      <c r="AD19" s="41"/>
      <c r="AE19" s="39"/>
    </row>
    <row r="20" spans="2:31" ht="21" customHeight="1" x14ac:dyDescent="0.25">
      <c r="B20" s="39"/>
      <c r="C20" s="41"/>
      <c r="D20" s="41"/>
      <c r="E20" s="41"/>
      <c r="F20" s="39" t="s">
        <v>44</v>
      </c>
      <c r="G20" s="75">
        <f>SUBTOTAL(9,G4:G19)</f>
        <v>44487.5</v>
      </c>
      <c r="H20" s="76"/>
      <c r="I20" s="75">
        <f>SUBTOTAL(9,I4:I19)</f>
        <v>1780.54</v>
      </c>
      <c r="J20" s="12" t="s">
        <v>45</v>
      </c>
      <c r="K20" s="11">
        <f>SUBTOTAL(9,K4:K19)</f>
        <v>46294.04</v>
      </c>
      <c r="L20" s="4"/>
      <c r="M20" s="217">
        <f>SUM(M4:M16)</f>
        <v>228.5</v>
      </c>
      <c r="N20" s="217">
        <f>SUM(N4:N15)</f>
        <v>231</v>
      </c>
      <c r="O20" s="39"/>
      <c r="P20" s="39"/>
      <c r="Q20" s="41"/>
      <c r="R20" s="80"/>
      <c r="V20" s="53"/>
      <c r="W20" s="181">
        <f>T19-V20</f>
        <v>4175.0269724999998</v>
      </c>
      <c r="Y20" s="41"/>
      <c r="Z20" s="63"/>
      <c r="AA20" s="63"/>
      <c r="AB20" s="39"/>
      <c r="AC20" s="41"/>
      <c r="AD20" s="41"/>
      <c r="AE20" s="39"/>
    </row>
    <row r="21" spans="2:31" ht="21" customHeight="1" x14ac:dyDescent="0.25">
      <c r="B21" s="39"/>
      <c r="C21" s="41"/>
      <c r="D21" s="41"/>
      <c r="E21" s="41"/>
      <c r="F21" s="39" t="s">
        <v>46</v>
      </c>
      <c r="G21" s="77">
        <f>SUM(G4:G19)</f>
        <v>44487.5</v>
      </c>
      <c r="H21" s="61"/>
      <c r="I21" s="41"/>
      <c r="J21" s="39"/>
      <c r="K21" s="39"/>
      <c r="L21" s="39"/>
      <c r="M21" s="224">
        <f>SUM(M4:M15)</f>
        <v>208</v>
      </c>
      <c r="N21" s="39"/>
      <c r="O21" s="39"/>
      <c r="P21" s="39"/>
      <c r="Q21" s="41"/>
      <c r="R21" s="80"/>
      <c r="S21" s="65"/>
      <c r="T21" s="18"/>
      <c r="U21" s="62"/>
      <c r="V21" s="39"/>
      <c r="W21" s="41"/>
      <c r="Y21" s="41"/>
      <c r="Z21" s="41"/>
      <c r="AA21" s="39"/>
      <c r="AB21" s="39"/>
      <c r="AC21" s="41"/>
      <c r="AD21" s="41"/>
      <c r="AE21" s="39"/>
    </row>
    <row r="22" spans="2:31" ht="21" customHeight="1" x14ac:dyDescent="0.25">
      <c r="B22" s="39"/>
      <c r="C22" s="41"/>
      <c r="D22" s="41"/>
      <c r="E22" s="41"/>
      <c r="F22" s="39"/>
      <c r="G22" s="78"/>
      <c r="H22" s="61"/>
      <c r="I22" s="41"/>
      <c r="J22" s="39"/>
      <c r="K22" s="39"/>
      <c r="L22" s="39"/>
      <c r="M22" s="39"/>
      <c r="N22" s="39"/>
      <c r="O22" s="39"/>
      <c r="P22" s="39"/>
      <c r="Q22" s="41"/>
      <c r="R22" s="80"/>
      <c r="S22" s="3" t="s">
        <v>40</v>
      </c>
      <c r="T22" s="39"/>
      <c r="U22" s="164"/>
      <c r="V22" s="128" t="s">
        <v>64</v>
      </c>
      <c r="W22" s="128" t="s">
        <v>66</v>
      </c>
      <c r="Y22" s="41"/>
      <c r="Z22" s="41"/>
      <c r="AA22" s="39"/>
      <c r="AB22" s="39"/>
      <c r="AC22" s="41"/>
      <c r="AD22" s="41"/>
      <c r="AE22" s="39"/>
    </row>
    <row r="23" spans="2:31" ht="21" customHeight="1" x14ac:dyDescent="0.25">
      <c r="B23" s="39"/>
      <c r="C23" s="41"/>
      <c r="D23" s="41"/>
      <c r="E23" s="41"/>
      <c r="F23" s="39"/>
      <c r="G23" s="39"/>
      <c r="H23" s="39"/>
      <c r="I23" s="39"/>
      <c r="J23" s="41"/>
      <c r="K23" s="39"/>
      <c r="L23" s="39"/>
      <c r="M23" s="39"/>
      <c r="N23" s="79"/>
      <c r="O23" s="79"/>
      <c r="P23" s="79"/>
      <c r="Q23" s="68"/>
      <c r="R23" s="80"/>
      <c r="S23" s="66" t="s">
        <v>41</v>
      </c>
      <c r="T23" s="67">
        <f>MAX(780,0.0725*T16)*IF(U26="Sì",1,2)</f>
        <v>5034.4768499999991</v>
      </c>
      <c r="U23" s="41"/>
      <c r="V23" s="53">
        <v>1863</v>
      </c>
      <c r="W23" s="129">
        <f>T23-V23</f>
        <v>3171.4768499999991</v>
      </c>
      <c r="Y23" s="41"/>
      <c r="Z23" s="41"/>
      <c r="AA23" s="39"/>
      <c r="AB23" s="39"/>
      <c r="AC23" s="41"/>
      <c r="AD23" s="41"/>
      <c r="AE23" s="39"/>
    </row>
    <row r="24" spans="2:31" ht="21" customHeight="1" x14ac:dyDescent="0.25">
      <c r="B24" s="39"/>
      <c r="C24" s="41"/>
      <c r="D24" s="41"/>
      <c r="E24" s="41"/>
      <c r="F24" s="39"/>
      <c r="G24" s="39"/>
      <c r="H24" s="39"/>
      <c r="I24" s="39"/>
      <c r="J24" s="41"/>
      <c r="K24" s="50"/>
      <c r="L24" s="50"/>
      <c r="M24" s="50"/>
      <c r="N24" s="50"/>
      <c r="O24" s="50"/>
      <c r="P24" s="50"/>
      <c r="Q24" s="221"/>
      <c r="R24" s="80"/>
      <c r="S24" s="36" t="s">
        <v>42</v>
      </c>
      <c r="T24" s="62">
        <f>MAX(231.5,I20)</f>
        <v>1780.54</v>
      </c>
      <c r="U24" s="63"/>
      <c r="V24" s="53"/>
      <c r="W24" s="129">
        <f t="shared" ref="W24:W25" si="11">T24-V24</f>
        <v>1780.54</v>
      </c>
      <c r="Y24" s="41"/>
      <c r="Z24" s="41"/>
      <c r="AA24" s="39"/>
      <c r="AB24" s="39"/>
      <c r="AC24" s="41"/>
      <c r="AD24" s="41"/>
      <c r="AE24" s="39"/>
    </row>
    <row r="25" spans="2:31" ht="21" customHeight="1" x14ac:dyDescent="0.25">
      <c r="B25" s="39"/>
      <c r="C25" s="41"/>
      <c r="D25" s="41"/>
      <c r="E25" s="41"/>
      <c r="F25" s="39"/>
      <c r="G25" s="39"/>
      <c r="H25" s="39"/>
      <c r="I25" s="39"/>
      <c r="J25" s="41"/>
      <c r="K25" s="39"/>
      <c r="L25" s="39"/>
      <c r="M25" s="39"/>
      <c r="N25" s="39" t="s">
        <v>160</v>
      </c>
      <c r="O25" s="39"/>
      <c r="P25" s="39"/>
      <c r="Q25" s="41"/>
      <c r="R25" s="80"/>
      <c r="S25" s="36" t="s">
        <v>43</v>
      </c>
      <c r="T25" s="62">
        <v>72</v>
      </c>
      <c r="U25" s="41" t="s">
        <v>97</v>
      </c>
      <c r="V25" s="4"/>
      <c r="W25" s="129">
        <f t="shared" si="11"/>
        <v>72</v>
      </c>
      <c r="Y25" s="41"/>
      <c r="Z25" s="41"/>
      <c r="AA25" s="39"/>
      <c r="AB25" s="39"/>
      <c r="AC25" s="41"/>
      <c r="AD25" s="41"/>
      <c r="AE25" s="39"/>
    </row>
    <row r="26" spans="2:31" ht="24.95" customHeight="1" x14ac:dyDescent="0.25">
      <c r="B26" s="39"/>
      <c r="C26" s="41"/>
      <c r="D26" s="41"/>
      <c r="E26" s="41"/>
      <c r="F26" s="39"/>
      <c r="G26" s="39"/>
      <c r="H26" s="39"/>
      <c r="I26" s="39"/>
      <c r="J26" s="41"/>
      <c r="K26" s="39"/>
      <c r="L26" s="39"/>
      <c r="M26" s="39" t="s">
        <v>143</v>
      </c>
      <c r="N26" s="39"/>
      <c r="O26" s="61">
        <f>(T19+T26)*SUM(K4:K9)/K20-V26+'2024 reale'!U25</f>
        <v>3072.8840649021081</v>
      </c>
      <c r="P26" s="39"/>
      <c r="Q26" s="41"/>
      <c r="R26" s="41"/>
      <c r="S26" s="39"/>
      <c r="T26" s="4">
        <f>SUM(T23:T25)</f>
        <v>6887.0168499999991</v>
      </c>
      <c r="U26" s="41" t="s">
        <v>145</v>
      </c>
      <c r="V26" s="4">
        <f>SUM(V23:V25)</f>
        <v>1863</v>
      </c>
      <c r="W26" s="4">
        <f>SUM(W23:W25)</f>
        <v>5024.0168499999991</v>
      </c>
      <c r="Y26" s="41"/>
      <c r="Z26" s="41"/>
      <c r="AA26" s="39"/>
      <c r="AB26" s="39"/>
      <c r="AC26" s="41"/>
      <c r="AD26" s="41"/>
      <c r="AE26" s="39"/>
    </row>
    <row r="27" spans="2:31" ht="24.95" customHeight="1" x14ac:dyDescent="0.25">
      <c r="B27" s="39"/>
      <c r="C27" s="41"/>
      <c r="D27" s="41"/>
      <c r="E27" s="41"/>
      <c r="F27" s="39"/>
      <c r="G27" s="39"/>
      <c r="H27" s="39"/>
      <c r="I27" s="39"/>
      <c r="J27" s="41"/>
      <c r="K27" s="39"/>
      <c r="L27" s="39"/>
      <c r="M27" s="39"/>
      <c r="N27" s="39"/>
      <c r="O27" s="39"/>
      <c r="P27" s="39"/>
      <c r="Q27" s="41"/>
      <c r="R27" s="41"/>
      <c r="T27" s="1"/>
      <c r="U27" s="1"/>
      <c r="V27" s="1"/>
      <c r="X27" s="41"/>
      <c r="Y27" s="41"/>
      <c r="Z27" s="41"/>
      <c r="AA27" s="39"/>
      <c r="AB27" s="39"/>
      <c r="AC27" s="41"/>
      <c r="AD27" s="41"/>
      <c r="AE27" s="39"/>
    </row>
    <row r="28" spans="2:31" ht="24.95" customHeight="1" x14ac:dyDescent="0.25">
      <c r="R28" s="41"/>
      <c r="S28" s="38"/>
      <c r="T28" s="51">
        <f>(K20-T29)/K20</f>
        <v>0.23895179212054085</v>
      </c>
      <c r="U28" s="51"/>
      <c r="V28" s="171">
        <f>1-(G20-T19-T23-T25)/G20</f>
        <v>0.20863172402360208</v>
      </c>
      <c r="W28" s="83"/>
      <c r="X28" s="53"/>
      <c r="Y28" s="41"/>
      <c r="Z28" s="41"/>
      <c r="AA28" s="39"/>
      <c r="AB28" s="39"/>
      <c r="AC28" s="41"/>
      <c r="AD28" s="41"/>
      <c r="AE28" s="39"/>
    </row>
    <row r="29" spans="2:31" ht="24.95" customHeight="1" x14ac:dyDescent="0.25">
      <c r="R29" s="68"/>
      <c r="S29" s="46" t="s">
        <v>56</v>
      </c>
      <c r="T29" s="47">
        <f>K20-T19-T26</f>
        <v>35231.996177499997</v>
      </c>
      <c r="U29" s="50"/>
      <c r="V29" s="62"/>
      <c r="W29" s="39"/>
      <c r="X29" s="53"/>
      <c r="Y29" s="41"/>
      <c r="Z29" s="41"/>
      <c r="AA29" s="39"/>
      <c r="AB29" s="39"/>
      <c r="AC29" s="41"/>
      <c r="AD29" s="41"/>
      <c r="AE29" s="39"/>
    </row>
    <row r="30" spans="2:31" ht="24.95" customHeight="1" thickBot="1" x14ac:dyDescent="0.3">
      <c r="R30" s="221"/>
      <c r="S30" s="39"/>
      <c r="T30" s="41"/>
      <c r="U30" s="41"/>
      <c r="V30" s="41"/>
      <c r="Y30" s="41"/>
      <c r="Z30" s="41"/>
      <c r="AA30" s="39"/>
      <c r="AB30" s="39"/>
      <c r="AC30" s="41"/>
      <c r="AD30" s="41"/>
      <c r="AE30" s="39"/>
    </row>
    <row r="31" spans="2:31" ht="24.95" customHeight="1" thickBot="1" x14ac:dyDescent="0.3">
      <c r="R31" s="41"/>
      <c r="S31" s="46" t="s">
        <v>57</v>
      </c>
      <c r="T31" s="47">
        <f>T29/12</f>
        <v>2935.9996814583333</v>
      </c>
      <c r="U31" s="50"/>
      <c r="V31" s="41"/>
      <c r="W31" s="166" t="s">
        <v>157</v>
      </c>
      <c r="X31" s="165">
        <f>W26+W20</f>
        <v>9199.0438224999998</v>
      </c>
      <c r="Y31" s="62">
        <f ca="1">SUMIFS(K4:K15,D4:D15,"&lt;"&amp;TODAY())/K20*(T19+T26)-V26-V20</f>
        <v>4745.747063107905</v>
      </c>
      <c r="Z31" s="41"/>
      <c r="AA31" s="39"/>
      <c r="AB31" s="39"/>
      <c r="AC31" s="41"/>
      <c r="AD31" s="41"/>
      <c r="AE31" s="39"/>
    </row>
    <row r="32" spans="2:31" ht="24.95" customHeight="1" thickBot="1" x14ac:dyDescent="0.3">
      <c r="R32" s="41"/>
      <c r="S32" s="46" t="s">
        <v>94</v>
      </c>
      <c r="T32" s="47">
        <f>T31/13*12</f>
        <v>2710.1535521153846</v>
      </c>
      <c r="U32" s="50"/>
      <c r="V32" s="41"/>
      <c r="W32" s="166" t="s">
        <v>108</v>
      </c>
      <c r="X32" s="165">
        <f ca="1">'2025 reale'!X32</f>
        <v>5675.8554844499995</v>
      </c>
      <c r="Y32" s="170">
        <f ca="1">X32+Y31</f>
        <v>10421.602547557904</v>
      </c>
      <c r="Z32" s="41"/>
      <c r="AA32" s="39"/>
      <c r="AB32" s="39"/>
      <c r="AC32" s="41"/>
      <c r="AD32" s="41"/>
      <c r="AE32" s="39"/>
    </row>
    <row r="33" spans="18:31" ht="24.95" customHeight="1" x14ac:dyDescent="0.25">
      <c r="R33" s="41"/>
      <c r="S33" s="39"/>
      <c r="T33" s="39"/>
      <c r="U33" s="39"/>
      <c r="V33" s="1"/>
      <c r="X33" s="41"/>
      <c r="Y33" s="41"/>
      <c r="Z33" s="41"/>
      <c r="AA33" s="39"/>
      <c r="AB33" s="39"/>
      <c r="AC33" s="41"/>
      <c r="AD33" s="41"/>
      <c r="AE33" s="39"/>
    </row>
    <row r="34" spans="18:31" ht="24.95" customHeight="1" x14ac:dyDescent="0.25">
      <c r="S34" s="39"/>
      <c r="T34" s="176"/>
      <c r="U34" s="39"/>
      <c r="V34" s="39"/>
      <c r="W34" s="39"/>
    </row>
    <row r="35" spans="18:31" ht="24.95" customHeight="1" x14ac:dyDescent="0.25">
      <c r="S35" s="39"/>
      <c r="T35" s="176"/>
      <c r="U35" s="39"/>
      <c r="V35" s="39"/>
    </row>
    <row r="36" spans="18:31" ht="24.95" customHeight="1" x14ac:dyDescent="0.25">
      <c r="S36" s="39"/>
      <c r="T36" s="173"/>
      <c r="U36" s="39"/>
      <c r="V36" s="39"/>
    </row>
    <row r="37" spans="18:31" ht="24.95" customHeight="1" x14ac:dyDescent="0.25">
      <c r="S37" s="39"/>
      <c r="T37" s="173"/>
      <c r="U37" s="39"/>
      <c r="V37" s="177"/>
      <c r="W37" s="179"/>
    </row>
    <row r="38" spans="18:31" ht="24.95" customHeight="1" x14ac:dyDescent="0.25">
      <c r="S38" s="39"/>
      <c r="T38" s="174"/>
      <c r="U38" s="39"/>
      <c r="V38" s="178"/>
      <c r="W38" s="52"/>
    </row>
    <row r="39" spans="18:31" ht="24.95" customHeight="1" x14ac:dyDescent="0.25">
      <c r="S39" s="39"/>
      <c r="T39" s="175"/>
      <c r="U39" s="1"/>
      <c r="V39" s="1"/>
    </row>
  </sheetData>
  <mergeCells count="2">
    <mergeCell ref="C1:K1"/>
    <mergeCell ref="C2:K2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EC04-C829-476E-8CDC-2CB3A024D8B0}">
  <dimension ref="B1:AE39"/>
  <sheetViews>
    <sheetView showGridLines="0" topLeftCell="A7" zoomScale="85" zoomScaleNormal="85" workbookViewId="0">
      <selection activeCell="U26" sqref="U26"/>
    </sheetView>
  </sheetViews>
  <sheetFormatPr defaultColWidth="9.140625" defaultRowHeight="24.95" customHeight="1" x14ac:dyDescent="0.25"/>
  <cols>
    <col min="1" max="1" width="3.42578125" style="1" customWidth="1"/>
    <col min="2" max="2" width="9.140625" style="1" customWidth="1"/>
    <col min="3" max="3" width="8.140625" style="2" customWidth="1"/>
    <col min="4" max="4" width="12.85546875" style="2" customWidth="1"/>
    <col min="5" max="5" width="12.28515625" style="2" customWidth="1"/>
    <col min="6" max="6" width="12.42578125" style="1" customWidth="1"/>
    <col min="7" max="7" width="14.28515625" style="1" customWidth="1"/>
    <col min="8" max="8" width="12.28515625" style="1" hidden="1" customWidth="1"/>
    <col min="9" max="9" width="10.7109375" style="1" customWidth="1"/>
    <col min="10" max="10" width="11.28515625" style="2" customWidth="1"/>
    <col min="11" max="13" width="10.140625" style="1" customWidth="1"/>
    <col min="14" max="14" width="9.140625" style="1" customWidth="1"/>
    <col min="15" max="15" width="6.85546875" style="1" customWidth="1"/>
    <col min="16" max="16" width="5.42578125" style="1" customWidth="1"/>
    <col min="17" max="17" width="10.5703125" style="2" customWidth="1"/>
    <col min="18" max="18" width="16" style="2" customWidth="1"/>
    <col min="19" max="19" width="25" style="1" customWidth="1"/>
    <col min="20" max="21" width="18" style="2" customWidth="1"/>
    <col min="22" max="22" width="23" style="2" customWidth="1"/>
    <col min="23" max="23" width="22" style="1" customWidth="1"/>
    <col min="24" max="24" width="17.42578125" style="2" customWidth="1"/>
    <col min="25" max="25" width="24.140625" style="2" customWidth="1"/>
    <col min="26" max="26" width="17.140625" style="2" customWidth="1"/>
    <col min="27" max="27" width="9.42578125" style="1" customWidth="1"/>
    <col min="28" max="28" width="13.7109375" style="1" customWidth="1"/>
    <col min="29" max="29" width="12.85546875" style="2" customWidth="1"/>
    <col min="30" max="30" width="11.42578125" style="2" customWidth="1"/>
    <col min="31" max="16384" width="9.140625" style="1"/>
  </cols>
  <sheetData>
    <row r="1" spans="2:31" ht="28.5" customHeight="1" x14ac:dyDescent="0.25">
      <c r="B1" s="39"/>
      <c r="C1" s="229" t="s">
        <v>0</v>
      </c>
      <c r="D1" s="229"/>
      <c r="E1" s="229"/>
      <c r="F1" s="229"/>
      <c r="G1" s="229"/>
      <c r="H1" s="229"/>
      <c r="I1" s="229"/>
      <c r="J1" s="229"/>
      <c r="K1" s="229"/>
      <c r="L1" s="86"/>
      <c r="M1" s="86"/>
      <c r="N1" s="39"/>
      <c r="O1" s="39"/>
      <c r="P1" s="39"/>
      <c r="Q1" s="41"/>
      <c r="R1" s="41"/>
      <c r="S1" s="39"/>
      <c r="T1" s="41"/>
      <c r="U1" s="41"/>
      <c r="V1" s="41"/>
      <c r="W1" s="39"/>
      <c r="X1" s="41"/>
      <c r="Y1" s="41"/>
      <c r="Z1" s="41"/>
      <c r="AA1" s="39"/>
      <c r="AB1" s="39"/>
      <c r="AC1" s="41"/>
      <c r="AD1" s="41"/>
      <c r="AE1" s="39"/>
    </row>
    <row r="2" spans="2:31" ht="13.5" customHeight="1" x14ac:dyDescent="0.25">
      <c r="B2" s="39"/>
      <c r="C2" s="230" t="s">
        <v>132</v>
      </c>
      <c r="D2" s="230"/>
      <c r="E2" s="230"/>
      <c r="F2" s="230"/>
      <c r="G2" s="230"/>
      <c r="H2" s="230" t="s">
        <v>2</v>
      </c>
      <c r="I2" s="230"/>
      <c r="J2" s="230"/>
      <c r="K2" s="230"/>
      <c r="L2" s="18"/>
      <c r="M2" s="18"/>
      <c r="N2" s="39"/>
      <c r="O2" s="39"/>
      <c r="P2" s="39"/>
      <c r="Q2" s="41"/>
      <c r="R2" s="41"/>
      <c r="S2" s="39"/>
      <c r="T2" s="41"/>
      <c r="U2" s="41"/>
      <c r="V2" s="41"/>
      <c r="W2" s="39"/>
      <c r="X2" s="41"/>
      <c r="Y2" s="41"/>
      <c r="Z2" s="41"/>
      <c r="AA2" s="39"/>
      <c r="AB2" s="39"/>
      <c r="AC2" s="41"/>
      <c r="AD2" s="41"/>
      <c r="AE2" s="39"/>
    </row>
    <row r="3" spans="2:31" ht="47.45" customHeight="1" x14ac:dyDescent="0.2">
      <c r="B3" s="5" t="s">
        <v>88</v>
      </c>
      <c r="C3" s="207" t="s">
        <v>133</v>
      </c>
      <c r="D3" s="208" t="s">
        <v>134</v>
      </c>
      <c r="E3" s="14" t="s">
        <v>86</v>
      </c>
      <c r="F3" s="7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9" t="s">
        <v>16</v>
      </c>
      <c r="L3" s="10" t="s">
        <v>135</v>
      </c>
      <c r="M3" s="208" t="s">
        <v>138</v>
      </c>
      <c r="N3" s="208" t="s">
        <v>136</v>
      </c>
      <c r="O3" s="208" t="s">
        <v>140</v>
      </c>
      <c r="P3" s="208" t="s">
        <v>137</v>
      </c>
      <c r="Q3" s="208" t="s">
        <v>147</v>
      </c>
      <c r="R3" s="222"/>
      <c r="S3" s="39"/>
      <c r="T3" s="39"/>
      <c r="U3" s="39"/>
      <c r="V3" s="41"/>
      <c r="W3" s="39"/>
      <c r="X3" s="41"/>
      <c r="Y3" s="37"/>
      <c r="Z3" s="37"/>
      <c r="AA3" s="18"/>
      <c r="AB3" s="39"/>
      <c r="AC3" s="41"/>
      <c r="AD3" s="41"/>
      <c r="AE3" s="39"/>
    </row>
    <row r="4" spans="2:31" ht="21" customHeight="1" x14ac:dyDescent="0.25">
      <c r="B4" s="156">
        <v>17</v>
      </c>
      <c r="C4" s="130"/>
      <c r="D4" s="133">
        <v>46022</v>
      </c>
      <c r="E4" s="131" t="s">
        <v>83</v>
      </c>
      <c r="F4" s="134" t="s">
        <v>27</v>
      </c>
      <c r="G4" s="135">
        <f t="shared" ref="G4:G8" si="0">M4*$T$7</f>
        <v>2880</v>
      </c>
      <c r="H4" s="136">
        <v>0</v>
      </c>
      <c r="I4" s="136">
        <f t="shared" ref="I4:I5" si="1">IF(L4="x",0,0.04*(J4+G4))</f>
        <v>115.28</v>
      </c>
      <c r="J4" s="136">
        <v>2</v>
      </c>
      <c r="K4" s="137">
        <f t="shared" ref="K4:K16" si="2">G4+I4+J4</f>
        <v>2997.28</v>
      </c>
      <c r="L4" s="137"/>
      <c r="M4" s="209">
        <f>N4-O4+P4</f>
        <v>16</v>
      </c>
      <c r="N4" s="209">
        <v>20</v>
      </c>
      <c r="O4" s="213">
        <v>4</v>
      </c>
      <c r="P4" s="213"/>
      <c r="Q4" s="225">
        <v>0.5</v>
      </c>
      <c r="R4" s="169" t="s">
        <v>154</v>
      </c>
      <c r="S4" s="61"/>
      <c r="T4" s="62"/>
      <c r="U4" s="41"/>
      <c r="V4" s="41"/>
      <c r="W4" s="39"/>
      <c r="X4" s="59"/>
      <c r="Y4" s="53"/>
      <c r="Z4" s="41"/>
      <c r="AA4" s="80"/>
      <c r="AB4" s="81"/>
      <c r="AC4" s="53"/>
      <c r="AD4" s="53"/>
      <c r="AE4" s="39"/>
    </row>
    <row r="5" spans="2:31" ht="21" customHeight="1" x14ac:dyDescent="0.25">
      <c r="B5" s="157">
        <v>1</v>
      </c>
      <c r="C5" s="31"/>
      <c r="D5" s="26">
        <v>46053</v>
      </c>
      <c r="E5" s="32" t="s">
        <v>72</v>
      </c>
      <c r="F5" s="48" t="s">
        <v>27</v>
      </c>
      <c r="G5" s="24">
        <f t="shared" si="0"/>
        <v>3780</v>
      </c>
      <c r="H5" s="57">
        <v>0</v>
      </c>
      <c r="I5" s="57">
        <f t="shared" si="1"/>
        <v>151.28</v>
      </c>
      <c r="J5" s="57">
        <v>2</v>
      </c>
      <c r="K5" s="58">
        <f t="shared" si="2"/>
        <v>3933.28</v>
      </c>
      <c r="L5" s="58"/>
      <c r="M5" s="210">
        <f t="shared" ref="M5:M15" si="3">N5-O5+P5</f>
        <v>21</v>
      </c>
      <c r="N5" s="210">
        <v>21</v>
      </c>
      <c r="O5" s="214"/>
      <c r="P5" s="215"/>
      <c r="Q5" s="215"/>
      <c r="R5" s="80"/>
      <c r="S5" s="39"/>
      <c r="T5" s="59"/>
      <c r="U5" s="59"/>
      <c r="V5" s="59"/>
      <c r="W5" s="41"/>
      <c r="X5" s="80"/>
      <c r="Y5" s="81"/>
      <c r="Z5" s="53"/>
      <c r="AA5" s="53"/>
      <c r="AB5" s="39"/>
      <c r="AC5" s="1"/>
      <c r="AD5" s="1"/>
    </row>
    <row r="6" spans="2:31" ht="21" customHeight="1" x14ac:dyDescent="0.25">
      <c r="B6" s="157">
        <v>2</v>
      </c>
      <c r="C6" s="31"/>
      <c r="D6" s="26">
        <v>46081</v>
      </c>
      <c r="E6" s="32" t="s">
        <v>73</v>
      </c>
      <c r="F6" s="48" t="s">
        <v>27</v>
      </c>
      <c r="G6" s="24">
        <f t="shared" si="0"/>
        <v>3690</v>
      </c>
      <c r="H6" s="57">
        <v>0</v>
      </c>
      <c r="I6" s="57">
        <f>IF(L6="x",0,0.04*(J6+G6))</f>
        <v>147.68</v>
      </c>
      <c r="J6" s="57">
        <v>2</v>
      </c>
      <c r="K6" s="58">
        <f>G6+I6+J6</f>
        <v>3839.68</v>
      </c>
      <c r="L6" s="58"/>
      <c r="M6" s="210">
        <f t="shared" si="3"/>
        <v>20.5</v>
      </c>
      <c r="N6" s="210">
        <v>20</v>
      </c>
      <c r="O6" s="214"/>
      <c r="P6" s="215">
        <v>0.5</v>
      </c>
      <c r="Q6" s="215"/>
      <c r="R6" s="80"/>
      <c r="S6" s="39"/>
      <c r="T6" s="59"/>
      <c r="U6" s="59"/>
      <c r="V6" s="169"/>
      <c r="W6" s="41"/>
      <c r="X6" s="80"/>
      <c r="Y6" s="81"/>
      <c r="Z6" s="53"/>
      <c r="AA6" s="53"/>
      <c r="AB6" s="39"/>
      <c r="AC6" s="1"/>
      <c r="AD6" s="1"/>
    </row>
    <row r="7" spans="2:31" ht="21" customHeight="1" x14ac:dyDescent="0.25">
      <c r="B7" s="157">
        <v>4</v>
      </c>
      <c r="C7" s="31"/>
      <c r="D7" s="26">
        <v>46112</v>
      </c>
      <c r="E7" s="32" t="s">
        <v>74</v>
      </c>
      <c r="F7" s="48" t="s">
        <v>27</v>
      </c>
      <c r="G7" s="24">
        <f t="shared" si="0"/>
        <v>3870</v>
      </c>
      <c r="H7" s="57">
        <v>0</v>
      </c>
      <c r="I7" s="57">
        <f>IF(L7="x",0,0.04*(J7+G7))</f>
        <v>154.88</v>
      </c>
      <c r="J7" s="57">
        <v>2</v>
      </c>
      <c r="K7" s="58">
        <f t="shared" si="2"/>
        <v>4026.88</v>
      </c>
      <c r="L7" s="58"/>
      <c r="M7" s="210">
        <f t="shared" si="3"/>
        <v>21.5</v>
      </c>
      <c r="N7" s="210">
        <v>21</v>
      </c>
      <c r="O7" s="214"/>
      <c r="P7" s="215">
        <v>0.5</v>
      </c>
      <c r="Q7" s="215"/>
      <c r="R7" s="80"/>
      <c r="S7" s="211" t="s">
        <v>141</v>
      </c>
      <c r="T7" s="212">
        <v>180</v>
      </c>
      <c r="U7" s="59"/>
      <c r="V7" s="59"/>
      <c r="W7" s="41"/>
      <c r="X7" s="80"/>
      <c r="Y7" s="39"/>
      <c r="Z7" s="82"/>
      <c r="AA7" s="53"/>
      <c r="AB7" s="39"/>
      <c r="AC7" s="1"/>
      <c r="AD7" s="1"/>
    </row>
    <row r="8" spans="2:31" ht="21" customHeight="1" x14ac:dyDescent="0.25">
      <c r="B8" s="157">
        <v>5</v>
      </c>
      <c r="C8" s="31"/>
      <c r="D8" s="26">
        <v>46142</v>
      </c>
      <c r="E8" s="32" t="s">
        <v>75</v>
      </c>
      <c r="F8" s="48" t="s">
        <v>27</v>
      </c>
      <c r="G8" s="24">
        <f t="shared" si="0"/>
        <v>3600</v>
      </c>
      <c r="H8" s="57">
        <v>0</v>
      </c>
      <c r="I8" s="57">
        <f>IF(L8="x",0,0.04*(J8+G8))</f>
        <v>144.08000000000001</v>
      </c>
      <c r="J8" s="57">
        <v>2</v>
      </c>
      <c r="K8" s="58">
        <f t="shared" si="2"/>
        <v>3746.08</v>
      </c>
      <c r="L8" s="58"/>
      <c r="M8" s="210">
        <f t="shared" si="3"/>
        <v>20</v>
      </c>
      <c r="N8" s="210">
        <v>20</v>
      </c>
      <c r="O8" s="214"/>
      <c r="P8" s="215"/>
      <c r="Q8" s="215"/>
      <c r="R8" s="80"/>
      <c r="S8" s="211" t="s">
        <v>155</v>
      </c>
      <c r="T8" s="212">
        <v>200</v>
      </c>
      <c r="U8" s="59"/>
      <c r="V8" s="59"/>
      <c r="W8" s="41"/>
      <c r="X8" s="80"/>
      <c r="Y8" s="39"/>
      <c r="Z8" s="82"/>
      <c r="AA8" s="53"/>
      <c r="AB8" s="39"/>
      <c r="AC8" s="1"/>
      <c r="AD8" s="1"/>
    </row>
    <row r="9" spans="2:31" ht="21" customHeight="1" x14ac:dyDescent="0.25">
      <c r="B9" s="157">
        <v>7</v>
      </c>
      <c r="C9" s="33"/>
      <c r="D9" s="26">
        <v>46173</v>
      </c>
      <c r="E9" s="32" t="s">
        <v>76</v>
      </c>
      <c r="F9" s="48" t="s">
        <v>27</v>
      </c>
      <c r="G9" s="24">
        <f>M9*$T$7</f>
        <v>3870</v>
      </c>
      <c r="H9" s="57">
        <v>0</v>
      </c>
      <c r="I9" s="57">
        <f t="shared" ref="I9:I12" si="4">IF(L9="x",0,0.04*(J9+G9))</f>
        <v>154.88</v>
      </c>
      <c r="J9" s="57">
        <v>2</v>
      </c>
      <c r="K9" s="58">
        <f t="shared" si="2"/>
        <v>4026.88</v>
      </c>
      <c r="L9" s="58"/>
      <c r="M9" s="210">
        <f t="shared" si="3"/>
        <v>21.5</v>
      </c>
      <c r="N9" s="210">
        <v>21</v>
      </c>
      <c r="O9" s="214"/>
      <c r="P9" s="215">
        <v>0.5</v>
      </c>
      <c r="Q9" s="215"/>
      <c r="R9" s="80"/>
      <c r="S9" s="39"/>
      <c r="T9" s="59"/>
      <c r="U9" s="59"/>
      <c r="V9" s="161"/>
      <c r="W9" s="41"/>
      <c r="X9" s="80"/>
      <c r="Y9" s="39"/>
      <c r="Z9" s="82"/>
      <c r="AA9" s="53"/>
      <c r="AB9" s="39"/>
      <c r="AC9" s="1"/>
      <c r="AD9" s="1"/>
    </row>
    <row r="10" spans="2:31" ht="21" customHeight="1" x14ac:dyDescent="0.25">
      <c r="B10" s="157">
        <v>9</v>
      </c>
      <c r="C10" s="33"/>
      <c r="D10" s="26">
        <v>46203</v>
      </c>
      <c r="E10" s="32" t="s">
        <v>77</v>
      </c>
      <c r="F10" s="48" t="s">
        <v>27</v>
      </c>
      <c r="G10" s="24">
        <f t="shared" ref="G10:G15" si="5">M10*$T$8</f>
        <v>4000</v>
      </c>
      <c r="H10" s="57">
        <v>0</v>
      </c>
      <c r="I10" s="57">
        <f t="shared" si="4"/>
        <v>160.08000000000001</v>
      </c>
      <c r="J10" s="57">
        <v>2</v>
      </c>
      <c r="K10" s="58">
        <f t="shared" si="2"/>
        <v>4162.08</v>
      </c>
      <c r="L10" s="58"/>
      <c r="M10" s="223">
        <f t="shared" si="3"/>
        <v>20</v>
      </c>
      <c r="N10" s="223">
        <v>20</v>
      </c>
      <c r="O10" s="214"/>
      <c r="P10" s="215"/>
      <c r="Q10" s="215"/>
      <c r="R10" s="80"/>
      <c r="S10" s="39"/>
      <c r="V10" s="59"/>
      <c r="W10" s="41"/>
      <c r="X10" s="80"/>
      <c r="Y10" s="39"/>
      <c r="Z10" s="82"/>
      <c r="AA10" s="53"/>
      <c r="AB10" s="39"/>
      <c r="AC10" s="1"/>
      <c r="AD10" s="1"/>
    </row>
    <row r="11" spans="2:31" ht="21" customHeight="1" x14ac:dyDescent="0.25">
      <c r="B11" s="157">
        <v>10</v>
      </c>
      <c r="C11" s="33"/>
      <c r="D11" s="26">
        <v>46234</v>
      </c>
      <c r="E11" s="32" t="s">
        <v>78</v>
      </c>
      <c r="F11" s="48" t="s">
        <v>27</v>
      </c>
      <c r="G11" s="24">
        <f t="shared" si="5"/>
        <v>4700</v>
      </c>
      <c r="H11" s="57">
        <v>0</v>
      </c>
      <c r="I11" s="57">
        <f t="shared" si="4"/>
        <v>188.08</v>
      </c>
      <c r="J11" s="57">
        <v>2</v>
      </c>
      <c r="K11" s="58">
        <f t="shared" si="2"/>
        <v>4890.08</v>
      </c>
      <c r="L11" s="58"/>
      <c r="M11" s="223">
        <f t="shared" si="3"/>
        <v>23.5</v>
      </c>
      <c r="N11" s="223">
        <v>23</v>
      </c>
      <c r="O11" s="214"/>
      <c r="P11" s="215">
        <v>0.5</v>
      </c>
      <c r="Q11" s="215"/>
      <c r="R11" s="80"/>
      <c r="S11" s="3" t="s">
        <v>31</v>
      </c>
      <c r="T11" s="18">
        <v>0.78</v>
      </c>
      <c r="U11" s="18"/>
      <c r="W11" s="39"/>
      <c r="X11" s="59"/>
      <c r="Y11" s="59"/>
      <c r="Z11" s="41"/>
      <c r="AA11" s="80"/>
      <c r="AB11" s="39"/>
      <c r="AC11" s="82"/>
      <c r="AD11" s="53"/>
      <c r="AE11" s="39"/>
    </row>
    <row r="12" spans="2:31" ht="21" customHeight="1" x14ac:dyDescent="0.25">
      <c r="B12" s="157">
        <v>11</v>
      </c>
      <c r="C12" s="33"/>
      <c r="D12" s="26">
        <v>46265</v>
      </c>
      <c r="E12" s="32" t="s">
        <v>79</v>
      </c>
      <c r="F12" s="48" t="s">
        <v>27</v>
      </c>
      <c r="G12" s="24">
        <f t="shared" si="5"/>
        <v>2000</v>
      </c>
      <c r="H12" s="57">
        <v>0</v>
      </c>
      <c r="I12" s="57">
        <f t="shared" si="4"/>
        <v>80.08</v>
      </c>
      <c r="J12" s="57">
        <v>2</v>
      </c>
      <c r="K12" s="58">
        <f t="shared" si="2"/>
        <v>2082.08</v>
      </c>
      <c r="L12" s="58"/>
      <c r="M12" s="223">
        <f t="shared" si="3"/>
        <v>10</v>
      </c>
      <c r="N12" s="223">
        <v>20</v>
      </c>
      <c r="O12" s="214">
        <v>10</v>
      </c>
      <c r="P12" s="215"/>
      <c r="Q12" s="215"/>
      <c r="R12" s="80"/>
      <c r="S12" s="39"/>
      <c r="T12" s="17" t="s">
        <v>32</v>
      </c>
      <c r="U12" s="62"/>
      <c r="W12" s="17"/>
      <c r="X12" s="59"/>
      <c r="Y12" s="59"/>
      <c r="Z12" s="41"/>
      <c r="AA12" s="80"/>
      <c r="AB12" s="39"/>
      <c r="AC12" s="82"/>
      <c r="AD12" s="53"/>
      <c r="AE12" s="39"/>
    </row>
    <row r="13" spans="2:31" ht="21" customHeight="1" x14ac:dyDescent="0.25">
      <c r="B13" s="157">
        <v>12</v>
      </c>
      <c r="C13" s="33"/>
      <c r="D13" s="26">
        <v>46295</v>
      </c>
      <c r="E13" s="32" t="s">
        <v>80</v>
      </c>
      <c r="F13" s="48" t="s">
        <v>27</v>
      </c>
      <c r="G13" s="24">
        <f t="shared" si="5"/>
        <v>4500</v>
      </c>
      <c r="H13" s="57">
        <v>0</v>
      </c>
      <c r="I13" s="57">
        <f>IF(L13="x",0,0.04*(J13+G13))</f>
        <v>180.08</v>
      </c>
      <c r="J13" s="57">
        <v>2</v>
      </c>
      <c r="K13" s="58">
        <f t="shared" si="2"/>
        <v>4682.08</v>
      </c>
      <c r="L13" s="58"/>
      <c r="M13" s="223">
        <f>N13-O13+P13</f>
        <v>22.5</v>
      </c>
      <c r="N13" s="223">
        <v>22</v>
      </c>
      <c r="O13" s="214"/>
      <c r="P13" s="215">
        <v>0.5</v>
      </c>
      <c r="Q13" s="215"/>
      <c r="R13" s="80"/>
      <c r="S13" s="36" t="s">
        <v>33</v>
      </c>
      <c r="T13" s="62">
        <f>G21</f>
        <v>45590</v>
      </c>
      <c r="U13" s="62"/>
      <c r="W13" s="3"/>
      <c r="X13" s="59"/>
      <c r="Y13" s="59"/>
      <c r="Z13" s="41"/>
      <c r="AA13" s="80"/>
      <c r="AB13" s="39"/>
      <c r="AC13" s="82"/>
      <c r="AD13" s="53"/>
      <c r="AE13" s="39"/>
    </row>
    <row r="14" spans="2:31" ht="21" customHeight="1" x14ac:dyDescent="0.25">
      <c r="B14" s="157">
        <v>13</v>
      </c>
      <c r="C14" s="33"/>
      <c r="D14" s="26">
        <v>46326</v>
      </c>
      <c r="E14" s="32" t="s">
        <v>81</v>
      </c>
      <c r="F14" s="48" t="s">
        <v>27</v>
      </c>
      <c r="G14" s="24">
        <f t="shared" si="5"/>
        <v>4600</v>
      </c>
      <c r="H14" s="57">
        <v>0</v>
      </c>
      <c r="I14" s="57">
        <f>IF(L14="x",0,0.04*(J14+G14))</f>
        <v>184.08</v>
      </c>
      <c r="J14" s="57">
        <v>2</v>
      </c>
      <c r="K14" s="58">
        <f t="shared" si="2"/>
        <v>4786.08</v>
      </c>
      <c r="L14" s="58"/>
      <c r="M14" s="223">
        <f t="shared" si="3"/>
        <v>23</v>
      </c>
      <c r="N14" s="223">
        <v>23</v>
      </c>
      <c r="O14" s="214"/>
      <c r="P14" s="215"/>
      <c r="Q14" s="215"/>
      <c r="R14" s="80"/>
      <c r="S14" s="39" t="s">
        <v>35</v>
      </c>
      <c r="T14" s="62">
        <f>T13+SUM(J4:J19)</f>
        <v>45616</v>
      </c>
      <c r="U14" s="62"/>
      <c r="W14" s="36"/>
      <c r="X14" s="59"/>
      <c r="Y14" s="41"/>
      <c r="Z14" s="63"/>
      <c r="AA14" s="63"/>
      <c r="AB14" s="39"/>
      <c r="AC14" s="82"/>
      <c r="AD14" s="53"/>
      <c r="AE14" s="39"/>
    </row>
    <row r="15" spans="2:31" ht="21" customHeight="1" x14ac:dyDescent="0.25">
      <c r="B15" s="157">
        <v>14</v>
      </c>
      <c r="C15" s="33"/>
      <c r="D15" s="26">
        <v>46356</v>
      </c>
      <c r="E15" s="32" t="s">
        <v>82</v>
      </c>
      <c r="F15" s="48" t="s">
        <v>27</v>
      </c>
      <c r="G15" s="24">
        <f t="shared" si="5"/>
        <v>4100</v>
      </c>
      <c r="H15" s="57">
        <v>0</v>
      </c>
      <c r="I15" s="57">
        <f t="shared" ref="I15:I16" si="6">IF(L15="x",0,0.04*(J15+G15))</f>
        <v>164.08</v>
      </c>
      <c r="J15" s="57">
        <v>2</v>
      </c>
      <c r="K15" s="58">
        <f t="shared" si="2"/>
        <v>4266.08</v>
      </c>
      <c r="L15" s="58"/>
      <c r="M15" s="223">
        <f t="shared" si="3"/>
        <v>20.5</v>
      </c>
      <c r="N15" s="223">
        <v>20</v>
      </c>
      <c r="O15" s="214"/>
      <c r="P15" s="215">
        <v>0.5</v>
      </c>
      <c r="Q15" s="215"/>
      <c r="R15" s="80"/>
      <c r="S15" s="36" t="s">
        <v>37</v>
      </c>
      <c r="T15" s="62"/>
      <c r="W15" s="36"/>
      <c r="X15" s="59"/>
      <c r="Y15" s="41"/>
      <c r="Z15" s="63"/>
      <c r="AA15" s="63"/>
      <c r="AB15" s="39"/>
      <c r="AC15" s="41"/>
      <c r="AD15" s="53"/>
      <c r="AE15" s="39"/>
    </row>
    <row r="16" spans="2:31" ht="21" customHeight="1" x14ac:dyDescent="0.25">
      <c r="B16" s="157">
        <v>15</v>
      </c>
      <c r="C16" s="33"/>
      <c r="D16" s="26"/>
      <c r="E16" s="32"/>
      <c r="F16" s="48" t="s">
        <v>156</v>
      </c>
      <c r="G16" s="24"/>
      <c r="H16" s="57"/>
      <c r="I16" s="57">
        <f t="shared" si="6"/>
        <v>0.08</v>
      </c>
      <c r="J16" s="57">
        <v>2</v>
      </c>
      <c r="K16" s="58">
        <f t="shared" si="2"/>
        <v>2.08</v>
      </c>
      <c r="L16" s="58"/>
      <c r="M16" s="58"/>
      <c r="N16" s="58"/>
      <c r="O16" s="58"/>
      <c r="P16" s="215"/>
      <c r="Q16" s="215"/>
      <c r="R16" s="80"/>
      <c r="S16" s="36" t="s">
        <v>38</v>
      </c>
      <c r="T16" s="62">
        <f>0.78*T14</f>
        <v>35580.480000000003</v>
      </c>
      <c r="W16" s="36"/>
      <c r="X16" s="41"/>
      <c r="Y16" s="41"/>
      <c r="Z16" s="63"/>
      <c r="AA16" s="63"/>
      <c r="AB16" s="39"/>
      <c r="AC16" s="41"/>
      <c r="AD16" s="41"/>
      <c r="AE16" s="39"/>
    </row>
    <row r="17" spans="2:31" ht="21" customHeight="1" x14ac:dyDescent="0.25">
      <c r="B17" s="26"/>
      <c r="C17" s="31"/>
      <c r="D17" s="32"/>
      <c r="E17" s="32"/>
      <c r="F17" s="48"/>
      <c r="G17" s="24"/>
      <c r="H17" s="57"/>
      <c r="I17" s="57"/>
      <c r="J17" s="57"/>
      <c r="K17" s="58"/>
      <c r="L17" s="58"/>
      <c r="M17" s="58"/>
      <c r="N17" s="58"/>
      <c r="O17" s="58"/>
      <c r="P17" s="215"/>
      <c r="Q17" s="215"/>
      <c r="R17" s="80"/>
      <c r="S17" s="36"/>
      <c r="T17" s="62"/>
      <c r="W17" s="36"/>
      <c r="X17" s="41"/>
      <c r="Y17" s="41"/>
      <c r="Z17" s="63"/>
      <c r="AA17" s="63"/>
      <c r="AB17" s="39"/>
      <c r="AC17" s="41"/>
      <c r="AD17" s="41"/>
      <c r="AE17" s="39"/>
    </row>
    <row r="18" spans="2:31" ht="21" customHeight="1" x14ac:dyDescent="0.25">
      <c r="B18" s="26"/>
      <c r="C18" s="31"/>
      <c r="D18" s="32"/>
      <c r="E18" s="32"/>
      <c r="F18" s="48"/>
      <c r="G18" s="24"/>
      <c r="H18" s="60"/>
      <c r="I18" s="60"/>
      <c r="J18" s="60"/>
      <c r="K18" s="58"/>
      <c r="L18" s="58"/>
      <c r="M18" s="58"/>
      <c r="N18" s="58"/>
      <c r="O18" s="58"/>
      <c r="P18" s="215"/>
      <c r="Q18" s="215"/>
      <c r="R18" s="80"/>
      <c r="S18" s="36"/>
      <c r="T18" s="62"/>
      <c r="W18" s="36"/>
      <c r="X18" s="41"/>
      <c r="Y18" s="41"/>
      <c r="Z18" s="63"/>
      <c r="AA18" s="63"/>
      <c r="AB18" s="39"/>
      <c r="AC18" s="41"/>
      <c r="AD18" s="41"/>
      <c r="AE18" s="39"/>
    </row>
    <row r="19" spans="2:31" ht="21" customHeight="1" x14ac:dyDescent="0.25">
      <c r="B19" s="29"/>
      <c r="C19" s="34"/>
      <c r="D19" s="35"/>
      <c r="E19" s="35"/>
      <c r="F19" s="72"/>
      <c r="G19" s="25"/>
      <c r="H19" s="73"/>
      <c r="I19" s="73"/>
      <c r="J19" s="73"/>
      <c r="K19" s="74"/>
      <c r="L19" s="74"/>
      <c r="M19" s="74"/>
      <c r="N19" s="74"/>
      <c r="O19" s="74"/>
      <c r="P19" s="216"/>
      <c r="Q19" s="216"/>
      <c r="R19" s="80"/>
      <c r="S19" s="36" t="s">
        <v>39</v>
      </c>
      <c r="T19" s="4">
        <f>0.15*(T16-T26)</f>
        <v>4278.7005600000002</v>
      </c>
      <c r="V19" s="128" t="s">
        <v>64</v>
      </c>
      <c r="W19" s="128" t="s">
        <v>66</v>
      </c>
      <c r="Y19" s="41"/>
      <c r="Z19" s="63"/>
      <c r="AA19" s="63"/>
      <c r="AB19" s="39"/>
      <c r="AC19" s="41"/>
      <c r="AD19" s="41"/>
      <c r="AE19" s="39"/>
    </row>
    <row r="20" spans="2:31" ht="21" customHeight="1" x14ac:dyDescent="0.25">
      <c r="B20" s="39"/>
      <c r="C20" s="41"/>
      <c r="D20" s="41"/>
      <c r="E20" s="41"/>
      <c r="F20" s="39" t="s">
        <v>44</v>
      </c>
      <c r="G20" s="75">
        <f>SUBTOTAL(9,G4:G19)</f>
        <v>45590</v>
      </c>
      <c r="H20" s="76"/>
      <c r="I20" s="75">
        <f>SUBTOTAL(9,I4:I19)</f>
        <v>1824.6399999999996</v>
      </c>
      <c r="J20" s="12" t="s">
        <v>45</v>
      </c>
      <c r="K20" s="11">
        <f>SUBTOTAL(9,K4:K19)</f>
        <v>47440.640000000007</v>
      </c>
      <c r="L20" s="4"/>
      <c r="M20" s="217">
        <f>SUM(M4:M15)</f>
        <v>240</v>
      </c>
      <c r="N20" s="217">
        <f>SUM(N4:N15)</f>
        <v>251</v>
      </c>
      <c r="O20" s="39"/>
      <c r="P20" s="39"/>
      <c r="Q20" s="41"/>
      <c r="R20" s="80"/>
      <c r="V20" s="53"/>
      <c r="W20" s="181"/>
      <c r="Y20" s="41"/>
      <c r="Z20" s="63"/>
      <c r="AA20" s="63"/>
      <c r="AB20" s="39"/>
      <c r="AC20" s="41"/>
      <c r="AD20" s="41"/>
      <c r="AE20" s="39"/>
    </row>
    <row r="21" spans="2:31" ht="21" customHeight="1" x14ac:dyDescent="0.25">
      <c r="B21" s="39"/>
      <c r="C21" s="41"/>
      <c r="D21" s="41"/>
      <c r="E21" s="41"/>
      <c r="F21" s="39" t="s">
        <v>46</v>
      </c>
      <c r="G21" s="77">
        <f>SUM(G4:G19)</f>
        <v>45590</v>
      </c>
      <c r="H21" s="61"/>
      <c r="I21" s="41"/>
      <c r="J21" s="39"/>
      <c r="K21" s="39"/>
      <c r="L21" s="39"/>
      <c r="M21" s="224">
        <f>SUM(M4:M15)</f>
        <v>240</v>
      </c>
      <c r="N21" s="39"/>
      <c r="O21" s="39"/>
      <c r="P21" s="39"/>
      <c r="Q21" s="41"/>
      <c r="R21" s="80"/>
      <c r="S21" s="65"/>
      <c r="T21" s="18"/>
      <c r="U21" s="62"/>
      <c r="V21" s="39"/>
      <c r="W21" s="41"/>
      <c r="Y21" s="41"/>
      <c r="Z21" s="41"/>
      <c r="AA21" s="39"/>
      <c r="AB21" s="39"/>
      <c r="AC21" s="41"/>
      <c r="AD21" s="41"/>
      <c r="AE21" s="39"/>
    </row>
    <row r="22" spans="2:31" ht="21" customHeight="1" x14ac:dyDescent="0.25">
      <c r="B22" s="39"/>
      <c r="C22" s="41"/>
      <c r="D22" s="41"/>
      <c r="E22" s="41"/>
      <c r="F22" s="39"/>
      <c r="G22" s="78"/>
      <c r="H22" s="61"/>
      <c r="I22" s="41"/>
      <c r="J22" s="39"/>
      <c r="K22" s="39"/>
      <c r="L22" s="39"/>
      <c r="M22" s="39"/>
      <c r="N22" s="39"/>
      <c r="O22" s="39"/>
      <c r="P22" s="39"/>
      <c r="Q22" s="41"/>
      <c r="R22" s="80"/>
      <c r="S22" s="3" t="s">
        <v>40</v>
      </c>
      <c r="T22" s="39"/>
      <c r="U22" s="164"/>
      <c r="V22" s="128" t="s">
        <v>64</v>
      </c>
      <c r="W22" s="128" t="s">
        <v>66</v>
      </c>
      <c r="Y22" s="41"/>
      <c r="Z22" s="41"/>
      <c r="AA22" s="39"/>
      <c r="AB22" s="39"/>
      <c r="AC22" s="41"/>
      <c r="AD22" s="41"/>
      <c r="AE22" s="39"/>
    </row>
    <row r="23" spans="2:31" ht="21" customHeight="1" x14ac:dyDescent="0.25">
      <c r="B23" s="39"/>
      <c r="C23" s="41"/>
      <c r="D23" s="41"/>
      <c r="E23" s="41"/>
      <c r="F23" s="39"/>
      <c r="G23" s="39"/>
      <c r="H23" s="39"/>
      <c r="I23" s="39"/>
      <c r="J23" s="41"/>
      <c r="K23" s="39"/>
      <c r="L23" s="39"/>
      <c r="M23" s="39"/>
      <c r="N23" s="79"/>
      <c r="O23" s="79"/>
      <c r="P23" s="79"/>
      <c r="Q23" s="68"/>
      <c r="R23" s="80"/>
      <c r="S23" s="66" t="s">
        <v>41</v>
      </c>
      <c r="T23" s="67">
        <f>MAX(780,0.0725*T16)*IF(U26="Sì",1,2)</f>
        <v>5159.1696000000002</v>
      </c>
      <c r="U23" s="41"/>
      <c r="V23" s="53"/>
      <c r="W23" s="129"/>
      <c r="Y23" s="41"/>
      <c r="Z23" s="41"/>
      <c r="AA23" s="39"/>
      <c r="AB23" s="39"/>
      <c r="AC23" s="41"/>
      <c r="AD23" s="41"/>
      <c r="AE23" s="39"/>
    </row>
    <row r="24" spans="2:31" ht="21" customHeight="1" x14ac:dyDescent="0.25">
      <c r="B24" s="39"/>
      <c r="C24" s="41"/>
      <c r="D24" s="41"/>
      <c r="E24" s="41"/>
      <c r="F24" s="39"/>
      <c r="G24" s="39"/>
      <c r="H24" s="39"/>
      <c r="I24" s="39"/>
      <c r="J24" s="41"/>
      <c r="K24" s="50"/>
      <c r="L24" s="50"/>
      <c r="M24" s="50"/>
      <c r="N24" s="50"/>
      <c r="O24" s="50"/>
      <c r="P24" s="50"/>
      <c r="Q24" s="221"/>
      <c r="R24" s="80"/>
      <c r="S24" s="36" t="s">
        <v>42</v>
      </c>
      <c r="T24" s="62">
        <f>MAX(231.5,I20)</f>
        <v>1824.6399999999996</v>
      </c>
      <c r="U24" s="63"/>
      <c r="V24" s="53"/>
      <c r="W24" s="129"/>
      <c r="Y24" s="41"/>
      <c r="Z24" s="41"/>
      <c r="AA24" s="39"/>
      <c r="AB24" s="39"/>
      <c r="AC24" s="41"/>
      <c r="AD24" s="41"/>
      <c r="AE24" s="39"/>
    </row>
    <row r="25" spans="2:31" ht="21" customHeight="1" x14ac:dyDescent="0.25">
      <c r="B25" s="39"/>
      <c r="C25" s="41"/>
      <c r="D25" s="41"/>
      <c r="E25" s="41"/>
      <c r="F25" s="39"/>
      <c r="G25" s="39"/>
      <c r="H25" s="39"/>
      <c r="I25" s="39"/>
      <c r="J25" s="41"/>
      <c r="K25" s="39"/>
      <c r="L25" s="39"/>
      <c r="M25" s="39"/>
      <c r="N25" s="39"/>
      <c r="O25" s="39"/>
      <c r="P25" s="39"/>
      <c r="Q25" s="41"/>
      <c r="R25" s="80"/>
      <c r="S25" s="36" t="s">
        <v>43</v>
      </c>
      <c r="T25" s="62">
        <v>72</v>
      </c>
      <c r="U25" s="41" t="s">
        <v>97</v>
      </c>
      <c r="V25" s="4"/>
      <c r="W25" s="129"/>
      <c r="Y25" s="41"/>
      <c r="Z25" s="41"/>
      <c r="AA25" s="39"/>
      <c r="AB25" s="39"/>
      <c r="AC25" s="41"/>
      <c r="AD25" s="41"/>
      <c r="AE25" s="39"/>
    </row>
    <row r="26" spans="2:31" ht="24.95" customHeight="1" x14ac:dyDescent="0.25">
      <c r="B26" s="39"/>
      <c r="C26" s="41"/>
      <c r="D26" s="41"/>
      <c r="E26" s="41"/>
      <c r="F26" s="39"/>
      <c r="G26" s="39"/>
      <c r="H26" s="39"/>
      <c r="I26" s="39"/>
      <c r="J26" s="41"/>
      <c r="K26" s="39"/>
      <c r="L26" s="39"/>
      <c r="M26" s="39" t="s">
        <v>143</v>
      </c>
      <c r="N26" s="39"/>
      <c r="O26" s="61">
        <f>(T19+T26)*SUM(K4:K9)/K20-V26+'2024 reale'!U25</f>
        <v>5392.4210722272874</v>
      </c>
      <c r="P26" s="39"/>
      <c r="Q26" s="41"/>
      <c r="R26" s="41"/>
      <c r="S26" s="39"/>
      <c r="T26" s="4">
        <f>SUM(T23:T25)</f>
        <v>7055.8095999999996</v>
      </c>
      <c r="U26" s="41" t="s">
        <v>145</v>
      </c>
      <c r="V26" s="4">
        <f>SUM(V23:V25)</f>
        <v>0</v>
      </c>
      <c r="W26" s="4">
        <f>SUM(W23:W25)</f>
        <v>0</v>
      </c>
      <c r="Y26" s="41"/>
      <c r="Z26" s="41"/>
      <c r="AA26" s="39"/>
      <c r="AB26" s="39"/>
      <c r="AC26" s="41"/>
      <c r="AD26" s="41"/>
      <c r="AE26" s="39"/>
    </row>
    <row r="27" spans="2:31" ht="24.95" customHeight="1" x14ac:dyDescent="0.25">
      <c r="B27" s="39"/>
      <c r="C27" s="41"/>
      <c r="D27" s="41"/>
      <c r="E27" s="41"/>
      <c r="F27" s="39"/>
      <c r="G27" s="39"/>
      <c r="H27" s="39"/>
      <c r="I27" s="39"/>
      <c r="J27" s="41"/>
      <c r="K27" s="39"/>
      <c r="L27" s="39"/>
      <c r="M27" s="39"/>
      <c r="N27" s="39"/>
      <c r="O27" s="39"/>
      <c r="P27" s="39"/>
      <c r="Q27" s="41"/>
      <c r="R27" s="41"/>
      <c r="T27" s="1"/>
      <c r="U27" s="1"/>
      <c r="V27" s="1"/>
      <c r="X27" s="41"/>
      <c r="Y27" s="41"/>
      <c r="Z27" s="41"/>
      <c r="AA27" s="39"/>
      <c r="AB27" s="39"/>
      <c r="AC27" s="41"/>
      <c r="AD27" s="41"/>
      <c r="AE27" s="39"/>
    </row>
    <row r="28" spans="2:31" ht="24.95" customHeight="1" x14ac:dyDescent="0.25">
      <c r="R28" s="41"/>
      <c r="S28" s="38"/>
      <c r="T28" s="51">
        <f>(K20-T29)/K20</f>
        <v>0.23891984087904372</v>
      </c>
      <c r="U28" s="51"/>
      <c r="V28" s="171">
        <f>1-(G20-T19-T23-T25)/G20</f>
        <v>0.20859552884404475</v>
      </c>
      <c r="W28" s="83"/>
      <c r="X28" s="53"/>
      <c r="Y28" s="41"/>
      <c r="Z28" s="41"/>
      <c r="AA28" s="39"/>
      <c r="AB28" s="39"/>
      <c r="AC28" s="41"/>
      <c r="AD28" s="41"/>
      <c r="AE28" s="39"/>
    </row>
    <row r="29" spans="2:31" ht="24.95" customHeight="1" x14ac:dyDescent="0.25">
      <c r="R29" s="68"/>
      <c r="S29" s="46" t="s">
        <v>56</v>
      </c>
      <c r="T29" s="47">
        <f>K20-T19-T26</f>
        <v>36106.129840000009</v>
      </c>
      <c r="U29" s="50"/>
      <c r="V29" s="62"/>
      <c r="W29" s="39"/>
      <c r="X29" s="53"/>
      <c r="Y29" s="41"/>
      <c r="Z29" s="41"/>
      <c r="AA29" s="39"/>
      <c r="AB29" s="39"/>
      <c r="AC29" s="41"/>
      <c r="AD29" s="41"/>
      <c r="AE29" s="39"/>
    </row>
    <row r="30" spans="2:31" ht="24.95" customHeight="1" thickBot="1" x14ac:dyDescent="0.3">
      <c r="R30" s="221"/>
      <c r="S30" s="39"/>
      <c r="T30" s="41"/>
      <c r="U30" s="41"/>
      <c r="V30" s="41"/>
      <c r="Y30" s="41"/>
      <c r="Z30" s="41"/>
      <c r="AA30" s="39"/>
      <c r="AB30" s="39"/>
      <c r="AC30" s="41"/>
      <c r="AD30" s="41"/>
      <c r="AE30" s="39"/>
    </row>
    <row r="31" spans="2:31" ht="24.95" customHeight="1" thickBot="1" x14ac:dyDescent="0.3">
      <c r="R31" s="41"/>
      <c r="S31" s="46" t="s">
        <v>57</v>
      </c>
      <c r="T31" s="47">
        <f>T29/12</f>
        <v>3008.8441533333339</v>
      </c>
      <c r="U31" s="50"/>
      <c r="V31" s="41"/>
      <c r="W31" s="166" t="s">
        <v>157</v>
      </c>
      <c r="X31" s="165">
        <f>W26+W20</f>
        <v>0</v>
      </c>
      <c r="Y31" s="62">
        <f ca="1">SUMIFS(K4:K15,D4:D15,"&lt;"&amp;TODAY())/K20*(T19+T26)-V26-V20</f>
        <v>6386.8434135531379</v>
      </c>
      <c r="Z31" s="41"/>
      <c r="AA31" s="39"/>
      <c r="AB31" s="39"/>
      <c r="AC31" s="41"/>
      <c r="AD31" s="41"/>
      <c r="AE31" s="39"/>
    </row>
    <row r="32" spans="2:31" ht="24.95" customHeight="1" thickBot="1" x14ac:dyDescent="0.3">
      <c r="R32" s="41"/>
      <c r="S32" s="46" t="s">
        <v>94</v>
      </c>
      <c r="T32" s="47">
        <f>T31/13*12</f>
        <v>2777.3946030769239</v>
      </c>
      <c r="U32" s="50"/>
      <c r="V32" s="41"/>
      <c r="W32" s="166" t="s">
        <v>108</v>
      </c>
      <c r="X32" s="165">
        <f>'2024 reale'!U19+'2024 reale'!U25</f>
        <v>-1.8849999999929423E-2</v>
      </c>
      <c r="Y32" s="170">
        <f ca="1">X32+Y31</f>
        <v>6386.8245635531384</v>
      </c>
      <c r="Z32" s="41"/>
      <c r="AA32" s="39"/>
      <c r="AB32" s="39"/>
      <c r="AC32" s="41"/>
      <c r="AD32" s="41"/>
      <c r="AE32" s="39"/>
    </row>
    <row r="33" spans="18:31" ht="24.95" customHeight="1" x14ac:dyDescent="0.25">
      <c r="R33" s="41"/>
      <c r="S33" s="39"/>
      <c r="T33" s="39"/>
      <c r="U33" s="39"/>
      <c r="V33" s="1"/>
      <c r="X33" s="41"/>
      <c r="Y33" s="41"/>
      <c r="Z33" s="41"/>
      <c r="AA33" s="39"/>
      <c r="AB33" s="39"/>
      <c r="AC33" s="41"/>
      <c r="AD33" s="41"/>
      <c r="AE33" s="39"/>
    </row>
    <row r="34" spans="18:31" ht="24.95" customHeight="1" x14ac:dyDescent="0.25">
      <c r="S34" s="39"/>
      <c r="T34" s="176"/>
      <c r="U34" s="39"/>
      <c r="V34" s="39"/>
      <c r="W34" s="39"/>
    </row>
    <row r="35" spans="18:31" ht="24.95" customHeight="1" x14ac:dyDescent="0.25">
      <c r="S35" s="39"/>
      <c r="T35" s="176"/>
      <c r="U35" s="39"/>
      <c r="V35" s="39"/>
    </row>
    <row r="36" spans="18:31" ht="24.95" customHeight="1" x14ac:dyDescent="0.25">
      <c r="S36" s="39"/>
      <c r="T36" s="173"/>
      <c r="U36" s="39"/>
      <c r="V36" s="39"/>
    </row>
    <row r="37" spans="18:31" ht="24.95" customHeight="1" x14ac:dyDescent="0.25">
      <c r="S37" s="39"/>
      <c r="T37" s="173"/>
      <c r="U37" s="39"/>
      <c r="V37" s="177"/>
      <c r="W37" s="179"/>
    </row>
    <row r="38" spans="18:31" ht="24.95" customHeight="1" x14ac:dyDescent="0.25">
      <c r="S38" s="39"/>
      <c r="T38" s="174"/>
      <c r="U38" s="39"/>
      <c r="V38" s="178"/>
      <c r="W38" s="52"/>
    </row>
    <row r="39" spans="18:31" ht="24.95" customHeight="1" x14ac:dyDescent="0.25">
      <c r="S39" s="39"/>
      <c r="T39" s="175"/>
      <c r="U39" s="1"/>
      <c r="V39" s="1"/>
    </row>
  </sheetData>
  <mergeCells count="2">
    <mergeCell ref="C1:K1"/>
    <mergeCell ref="C2:K2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81E1-6CE1-4EA0-BEB8-D13E869689D0}">
  <dimension ref="B1:AE39"/>
  <sheetViews>
    <sheetView showGridLines="0" zoomScale="85" zoomScaleNormal="85" workbookViewId="0">
      <selection activeCell="T8" sqref="T8"/>
    </sheetView>
  </sheetViews>
  <sheetFormatPr defaultColWidth="9.140625" defaultRowHeight="24.95" customHeight="1" x14ac:dyDescent="0.25"/>
  <cols>
    <col min="1" max="1" width="3.42578125" style="1" customWidth="1"/>
    <col min="2" max="2" width="9.140625" style="1" customWidth="1"/>
    <col min="3" max="3" width="8.140625" style="2" customWidth="1"/>
    <col min="4" max="4" width="12.85546875" style="2" customWidth="1"/>
    <col min="5" max="5" width="12.28515625" style="2" customWidth="1"/>
    <col min="6" max="6" width="12.42578125" style="1" customWidth="1"/>
    <col min="7" max="7" width="14.28515625" style="1" customWidth="1"/>
    <col min="8" max="8" width="12.28515625" style="1" hidden="1" customWidth="1"/>
    <col min="9" max="9" width="10.7109375" style="1" customWidth="1"/>
    <col min="10" max="10" width="11.28515625" style="2" customWidth="1"/>
    <col min="11" max="13" width="10.140625" style="1" customWidth="1"/>
    <col min="14" max="14" width="9.140625" style="1" customWidth="1"/>
    <col min="15" max="15" width="6.85546875" style="1" customWidth="1"/>
    <col min="16" max="16" width="5.42578125" style="1" customWidth="1"/>
    <col min="17" max="17" width="10.5703125" style="2" customWidth="1"/>
    <col min="18" max="18" width="16" style="2" customWidth="1"/>
    <col min="19" max="19" width="25" style="1" customWidth="1"/>
    <col min="20" max="21" width="18" style="2" customWidth="1"/>
    <col min="22" max="22" width="23" style="2" customWidth="1"/>
    <col min="23" max="23" width="22" style="1" customWidth="1"/>
    <col min="24" max="24" width="17.42578125" style="2" customWidth="1"/>
    <col min="25" max="25" width="24.140625" style="2" customWidth="1"/>
    <col min="26" max="26" width="17.140625" style="2" customWidth="1"/>
    <col min="27" max="27" width="9.42578125" style="1" customWidth="1"/>
    <col min="28" max="28" width="13.7109375" style="1" customWidth="1"/>
    <col min="29" max="29" width="12.85546875" style="2" customWidth="1"/>
    <col min="30" max="30" width="11.42578125" style="2" customWidth="1"/>
    <col min="31" max="16384" width="9.140625" style="1"/>
  </cols>
  <sheetData>
    <row r="1" spans="2:31" ht="28.5" customHeight="1" x14ac:dyDescent="0.25">
      <c r="B1" s="39"/>
      <c r="C1" s="229" t="s">
        <v>0</v>
      </c>
      <c r="D1" s="229"/>
      <c r="E1" s="229"/>
      <c r="F1" s="229"/>
      <c r="G1" s="229"/>
      <c r="H1" s="229"/>
      <c r="I1" s="229"/>
      <c r="J1" s="229"/>
      <c r="K1" s="229"/>
      <c r="L1" s="86"/>
      <c r="M1" s="86"/>
      <c r="N1" s="39"/>
      <c r="O1" s="39"/>
      <c r="P1" s="39"/>
      <c r="Q1" s="41"/>
      <c r="R1" s="41"/>
      <c r="S1" s="39"/>
      <c r="T1" s="41"/>
      <c r="U1" s="41"/>
      <c r="V1" s="41"/>
      <c r="W1" s="39"/>
      <c r="X1" s="41"/>
      <c r="Y1" s="41"/>
      <c r="Z1" s="41"/>
      <c r="AA1" s="39"/>
      <c r="AB1" s="39"/>
      <c r="AC1" s="41"/>
      <c r="AD1" s="41"/>
      <c r="AE1" s="39"/>
    </row>
    <row r="2" spans="2:31" ht="13.5" customHeight="1" x14ac:dyDescent="0.25">
      <c r="B2" s="39"/>
      <c r="C2" s="230" t="s">
        <v>132</v>
      </c>
      <c r="D2" s="230"/>
      <c r="E2" s="230"/>
      <c r="F2" s="230"/>
      <c r="G2" s="230"/>
      <c r="H2" s="230" t="s">
        <v>2</v>
      </c>
      <c r="I2" s="230"/>
      <c r="J2" s="230"/>
      <c r="K2" s="230"/>
      <c r="L2" s="18"/>
      <c r="M2" s="18"/>
      <c r="N2" s="39"/>
      <c r="O2" s="39"/>
      <c r="P2" s="39"/>
      <c r="Q2" s="41"/>
      <c r="R2" s="41"/>
      <c r="S2" s="39"/>
      <c r="T2" s="41"/>
      <c r="U2" s="41"/>
      <c r="V2" s="41"/>
      <c r="W2" s="39"/>
      <c r="X2" s="41"/>
      <c r="Y2" s="41"/>
      <c r="Z2" s="41"/>
      <c r="AA2" s="39"/>
      <c r="AB2" s="39"/>
      <c r="AC2" s="41"/>
      <c r="AD2" s="41"/>
      <c r="AE2" s="39"/>
    </row>
    <row r="3" spans="2:31" ht="47.45" customHeight="1" x14ac:dyDescent="0.2">
      <c r="B3" s="5" t="s">
        <v>88</v>
      </c>
      <c r="C3" s="207" t="s">
        <v>133</v>
      </c>
      <c r="D3" s="208" t="s">
        <v>134</v>
      </c>
      <c r="E3" s="14" t="s">
        <v>86</v>
      </c>
      <c r="F3" s="7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9" t="s">
        <v>16</v>
      </c>
      <c r="L3" s="10" t="s">
        <v>135</v>
      </c>
      <c r="M3" s="208" t="s">
        <v>138</v>
      </c>
      <c r="N3" s="208" t="s">
        <v>136</v>
      </c>
      <c r="O3" s="208" t="s">
        <v>140</v>
      </c>
      <c r="P3" s="208" t="s">
        <v>137</v>
      </c>
      <c r="Q3" s="208" t="s">
        <v>147</v>
      </c>
      <c r="R3" s="222"/>
      <c r="S3" s="39"/>
      <c r="T3" s="39"/>
      <c r="U3" s="39"/>
      <c r="V3" s="41"/>
      <c r="W3" s="39"/>
      <c r="X3" s="41"/>
      <c r="Y3" s="37"/>
      <c r="Z3" s="37"/>
      <c r="AA3" s="18"/>
      <c r="AB3" s="39"/>
      <c r="AC3" s="41"/>
      <c r="AD3" s="41"/>
      <c r="AE3" s="39"/>
    </row>
    <row r="4" spans="2:31" ht="21" customHeight="1" x14ac:dyDescent="0.25">
      <c r="B4" s="156">
        <v>17</v>
      </c>
      <c r="C4" s="130"/>
      <c r="D4" s="133">
        <v>46022</v>
      </c>
      <c r="E4" s="131" t="s">
        <v>83</v>
      </c>
      <c r="F4" s="134" t="s">
        <v>27</v>
      </c>
      <c r="G4" s="135">
        <f t="shared" ref="G4:G8" si="0">M4*$T$7</f>
        <v>3200</v>
      </c>
      <c r="H4" s="136">
        <v>0</v>
      </c>
      <c r="I4" s="136">
        <f t="shared" ref="I4:I5" si="1">IF(L4="x",0,0.04*(J4+G4))</f>
        <v>128.08000000000001</v>
      </c>
      <c r="J4" s="136">
        <v>2</v>
      </c>
      <c r="K4" s="137">
        <f t="shared" ref="K4:K16" si="2">G4+I4+J4</f>
        <v>3330.08</v>
      </c>
      <c r="L4" s="137"/>
      <c r="M4" s="209">
        <f>N4-O4+P4</f>
        <v>16</v>
      </c>
      <c r="N4" s="209">
        <v>20</v>
      </c>
      <c r="O4" s="213">
        <v>4</v>
      </c>
      <c r="P4" s="213"/>
      <c r="Q4" s="225">
        <v>0.5</v>
      </c>
      <c r="R4" s="169" t="s">
        <v>154</v>
      </c>
      <c r="S4" s="61"/>
      <c r="T4" s="62"/>
      <c r="U4" s="41"/>
      <c r="V4" s="41"/>
      <c r="W4" s="39"/>
      <c r="X4" s="59"/>
      <c r="Y4" s="53"/>
      <c r="Z4" s="41"/>
      <c r="AA4" s="80"/>
      <c r="AB4" s="81"/>
      <c r="AC4" s="53"/>
      <c r="AD4" s="53"/>
      <c r="AE4" s="39"/>
    </row>
    <row r="5" spans="2:31" ht="21" customHeight="1" x14ac:dyDescent="0.25">
      <c r="B5" s="157">
        <v>1</v>
      </c>
      <c r="C5" s="31"/>
      <c r="D5" s="26">
        <v>46053</v>
      </c>
      <c r="E5" s="32" t="s">
        <v>72</v>
      </c>
      <c r="F5" s="48" t="s">
        <v>27</v>
      </c>
      <c r="G5" s="24">
        <f t="shared" si="0"/>
        <v>4200</v>
      </c>
      <c r="H5" s="57">
        <v>0</v>
      </c>
      <c r="I5" s="57">
        <f t="shared" si="1"/>
        <v>168.08</v>
      </c>
      <c r="J5" s="57">
        <v>2</v>
      </c>
      <c r="K5" s="58">
        <f t="shared" si="2"/>
        <v>4370.08</v>
      </c>
      <c r="L5" s="58"/>
      <c r="M5" s="210">
        <f t="shared" ref="M5:M15" si="3">N5-O5+P5</f>
        <v>21</v>
      </c>
      <c r="N5" s="210">
        <v>21</v>
      </c>
      <c r="O5" s="214"/>
      <c r="P5" s="215"/>
      <c r="Q5" s="215"/>
      <c r="R5" s="80"/>
      <c r="S5" s="39"/>
      <c r="T5" s="59"/>
      <c r="U5" s="59"/>
      <c r="V5" s="59"/>
      <c r="W5" s="41"/>
      <c r="X5" s="80"/>
      <c r="Y5" s="81"/>
      <c r="Z5" s="53"/>
      <c r="AA5" s="53"/>
      <c r="AB5" s="39"/>
      <c r="AC5" s="1"/>
      <c r="AD5" s="1"/>
    </row>
    <row r="6" spans="2:31" ht="21" customHeight="1" x14ac:dyDescent="0.25">
      <c r="B6" s="157">
        <v>2</v>
      </c>
      <c r="C6" s="31"/>
      <c r="D6" s="26">
        <v>46081</v>
      </c>
      <c r="E6" s="32" t="s">
        <v>73</v>
      </c>
      <c r="F6" s="48" t="s">
        <v>27</v>
      </c>
      <c r="G6" s="24">
        <f t="shared" si="0"/>
        <v>4100</v>
      </c>
      <c r="H6" s="57">
        <v>0</v>
      </c>
      <c r="I6" s="57">
        <f>IF(L6="x",0,0.04*(J6+G6))</f>
        <v>164.08</v>
      </c>
      <c r="J6" s="57">
        <v>2</v>
      </c>
      <c r="K6" s="58">
        <f>G6+I6+J6</f>
        <v>4266.08</v>
      </c>
      <c r="L6" s="58"/>
      <c r="M6" s="210">
        <f t="shared" si="3"/>
        <v>20.5</v>
      </c>
      <c r="N6" s="210">
        <v>20</v>
      </c>
      <c r="O6" s="214"/>
      <c r="P6" s="215">
        <v>0.5</v>
      </c>
      <c r="Q6" s="215"/>
      <c r="R6" s="80"/>
      <c r="S6" s="39"/>
      <c r="T6" s="59"/>
      <c r="U6" s="59"/>
      <c r="V6" s="169"/>
      <c r="W6" s="41"/>
      <c r="X6" s="80"/>
      <c r="Y6" s="81"/>
      <c r="Z6" s="53"/>
      <c r="AA6" s="53"/>
      <c r="AB6" s="39"/>
      <c r="AC6" s="1"/>
      <c r="AD6" s="1"/>
    </row>
    <row r="7" spans="2:31" ht="21" customHeight="1" x14ac:dyDescent="0.25">
      <c r="B7" s="157">
        <v>4</v>
      </c>
      <c r="C7" s="31"/>
      <c r="D7" s="26">
        <v>46112</v>
      </c>
      <c r="E7" s="32" t="s">
        <v>74</v>
      </c>
      <c r="F7" s="48" t="s">
        <v>27</v>
      </c>
      <c r="G7" s="24">
        <f t="shared" si="0"/>
        <v>4300</v>
      </c>
      <c r="H7" s="57">
        <v>0</v>
      </c>
      <c r="I7" s="57">
        <f>IF(L7="x",0,0.04*(J7+G7))</f>
        <v>172.08</v>
      </c>
      <c r="J7" s="57">
        <v>2</v>
      </c>
      <c r="K7" s="58">
        <f t="shared" si="2"/>
        <v>4474.08</v>
      </c>
      <c r="L7" s="58"/>
      <c r="M7" s="210">
        <f t="shared" si="3"/>
        <v>21.5</v>
      </c>
      <c r="N7" s="210">
        <v>21</v>
      </c>
      <c r="O7" s="214"/>
      <c r="P7" s="215">
        <v>0.5</v>
      </c>
      <c r="Q7" s="215"/>
      <c r="R7" s="80"/>
      <c r="S7" s="211" t="s">
        <v>141</v>
      </c>
      <c r="T7" s="212">
        <v>200</v>
      </c>
      <c r="U7" s="59"/>
      <c r="V7" s="59"/>
      <c r="W7" s="41"/>
      <c r="X7" s="80"/>
      <c r="Y7" s="39"/>
      <c r="Z7" s="82"/>
      <c r="AA7" s="53"/>
      <c r="AB7" s="39"/>
      <c r="AC7" s="1"/>
      <c r="AD7" s="1"/>
    </row>
    <row r="8" spans="2:31" ht="21" customHeight="1" x14ac:dyDescent="0.25">
      <c r="B8" s="157">
        <v>5</v>
      </c>
      <c r="C8" s="31"/>
      <c r="D8" s="26">
        <v>46142</v>
      </c>
      <c r="E8" s="32" t="s">
        <v>75</v>
      </c>
      <c r="F8" s="48" t="s">
        <v>27</v>
      </c>
      <c r="G8" s="24">
        <f t="shared" si="0"/>
        <v>4000</v>
      </c>
      <c r="H8" s="57">
        <v>0</v>
      </c>
      <c r="I8" s="57">
        <f>IF(L8="x",0,0.04*(J8+G8))</f>
        <v>160.08000000000001</v>
      </c>
      <c r="J8" s="57">
        <v>2</v>
      </c>
      <c r="K8" s="58">
        <f t="shared" si="2"/>
        <v>4162.08</v>
      </c>
      <c r="L8" s="58"/>
      <c r="M8" s="210">
        <f t="shared" si="3"/>
        <v>20</v>
      </c>
      <c r="N8" s="210">
        <v>20</v>
      </c>
      <c r="O8" s="214"/>
      <c r="P8" s="215"/>
      <c r="Q8" s="215"/>
      <c r="R8" s="80"/>
      <c r="S8" s="211" t="s">
        <v>155</v>
      </c>
      <c r="T8" s="212">
        <v>200</v>
      </c>
      <c r="U8" s="59"/>
      <c r="V8" s="59"/>
      <c r="W8" s="41"/>
      <c r="X8" s="80"/>
      <c r="Y8" s="39"/>
      <c r="Z8" s="82"/>
      <c r="AA8" s="53"/>
      <c r="AB8" s="39"/>
      <c r="AC8" s="1"/>
      <c r="AD8" s="1"/>
    </row>
    <row r="9" spans="2:31" ht="21" customHeight="1" x14ac:dyDescent="0.25">
      <c r="B9" s="157">
        <v>7</v>
      </c>
      <c r="C9" s="33"/>
      <c r="D9" s="26">
        <v>46173</v>
      </c>
      <c r="E9" s="32" t="s">
        <v>76</v>
      </c>
      <c r="F9" s="48" t="s">
        <v>27</v>
      </c>
      <c r="G9" s="24">
        <f>M9*$T$7</f>
        <v>4300</v>
      </c>
      <c r="H9" s="57">
        <v>0</v>
      </c>
      <c r="I9" s="57">
        <f t="shared" ref="I9:I12" si="4">IF(L9="x",0,0.04*(J9+G9))</f>
        <v>172.08</v>
      </c>
      <c r="J9" s="57">
        <v>2</v>
      </c>
      <c r="K9" s="58">
        <f t="shared" si="2"/>
        <v>4474.08</v>
      </c>
      <c r="L9" s="58"/>
      <c r="M9" s="210">
        <f t="shared" si="3"/>
        <v>21.5</v>
      </c>
      <c r="N9" s="210">
        <v>21</v>
      </c>
      <c r="O9" s="214"/>
      <c r="P9" s="215">
        <v>0.5</v>
      </c>
      <c r="Q9" s="215"/>
      <c r="R9" s="80"/>
      <c r="S9" s="39"/>
      <c r="T9" s="59"/>
      <c r="U9" s="59"/>
      <c r="V9" s="161"/>
      <c r="W9" s="41"/>
      <c r="X9" s="80"/>
      <c r="Y9" s="39"/>
      <c r="Z9" s="82"/>
      <c r="AA9" s="53"/>
      <c r="AB9" s="39"/>
      <c r="AC9" s="1"/>
      <c r="AD9" s="1"/>
    </row>
    <row r="10" spans="2:31" ht="21" customHeight="1" x14ac:dyDescent="0.25">
      <c r="B10" s="157">
        <v>9</v>
      </c>
      <c r="C10" s="33"/>
      <c r="D10" s="26">
        <v>46203</v>
      </c>
      <c r="E10" s="32" t="s">
        <v>77</v>
      </c>
      <c r="F10" s="48" t="s">
        <v>27</v>
      </c>
      <c r="G10" s="24">
        <f t="shared" ref="G10:G15" si="5">M10*$T$8</f>
        <v>4000</v>
      </c>
      <c r="H10" s="57">
        <v>0</v>
      </c>
      <c r="I10" s="57">
        <f t="shared" si="4"/>
        <v>160.08000000000001</v>
      </c>
      <c r="J10" s="57">
        <v>2</v>
      </c>
      <c r="K10" s="58">
        <f t="shared" si="2"/>
        <v>4162.08</v>
      </c>
      <c r="L10" s="58"/>
      <c r="M10" s="223">
        <f t="shared" si="3"/>
        <v>20</v>
      </c>
      <c r="N10" s="223">
        <v>20</v>
      </c>
      <c r="O10" s="214"/>
      <c r="P10" s="215"/>
      <c r="Q10" s="215"/>
      <c r="R10" s="80"/>
      <c r="S10" s="39"/>
      <c r="V10" s="59"/>
      <c r="W10" s="41"/>
      <c r="X10" s="80"/>
      <c r="Y10" s="39"/>
      <c r="Z10" s="82"/>
      <c r="AA10" s="53"/>
      <c r="AB10" s="39"/>
      <c r="AC10" s="1"/>
      <c r="AD10" s="1"/>
    </row>
    <row r="11" spans="2:31" ht="21" customHeight="1" x14ac:dyDescent="0.25">
      <c r="B11" s="157">
        <v>10</v>
      </c>
      <c r="C11" s="33"/>
      <c r="D11" s="26">
        <v>46234</v>
      </c>
      <c r="E11" s="32" t="s">
        <v>78</v>
      </c>
      <c r="F11" s="48" t="s">
        <v>27</v>
      </c>
      <c r="G11" s="24">
        <f t="shared" si="5"/>
        <v>4700</v>
      </c>
      <c r="H11" s="57">
        <v>0</v>
      </c>
      <c r="I11" s="57">
        <f t="shared" si="4"/>
        <v>188.08</v>
      </c>
      <c r="J11" s="57">
        <v>2</v>
      </c>
      <c r="K11" s="58">
        <f t="shared" si="2"/>
        <v>4890.08</v>
      </c>
      <c r="L11" s="58"/>
      <c r="M11" s="223">
        <f t="shared" si="3"/>
        <v>23.5</v>
      </c>
      <c r="N11" s="223">
        <v>23</v>
      </c>
      <c r="O11" s="214"/>
      <c r="P11" s="215">
        <v>0.5</v>
      </c>
      <c r="Q11" s="215"/>
      <c r="R11" s="80"/>
      <c r="S11" s="3" t="s">
        <v>31</v>
      </c>
      <c r="T11" s="18">
        <v>0.78</v>
      </c>
      <c r="U11" s="18"/>
      <c r="W11" s="39"/>
      <c r="X11" s="59"/>
      <c r="Y11" s="59"/>
      <c r="Z11" s="41"/>
      <c r="AA11" s="80"/>
      <c r="AB11" s="39"/>
      <c r="AC11" s="82"/>
      <c r="AD11" s="53"/>
      <c r="AE11" s="39"/>
    </row>
    <row r="12" spans="2:31" ht="21" customHeight="1" x14ac:dyDescent="0.25">
      <c r="B12" s="157">
        <v>11</v>
      </c>
      <c r="C12" s="33"/>
      <c r="D12" s="26">
        <v>46265</v>
      </c>
      <c r="E12" s="32" t="s">
        <v>79</v>
      </c>
      <c r="F12" s="48" t="s">
        <v>27</v>
      </c>
      <c r="G12" s="24">
        <f t="shared" si="5"/>
        <v>2000</v>
      </c>
      <c r="H12" s="57">
        <v>0</v>
      </c>
      <c r="I12" s="57">
        <f t="shared" si="4"/>
        <v>80.08</v>
      </c>
      <c r="J12" s="57">
        <v>2</v>
      </c>
      <c r="K12" s="58">
        <f t="shared" si="2"/>
        <v>2082.08</v>
      </c>
      <c r="L12" s="58"/>
      <c r="M12" s="223">
        <f t="shared" si="3"/>
        <v>10</v>
      </c>
      <c r="N12" s="223">
        <v>20</v>
      </c>
      <c r="O12" s="214">
        <v>10</v>
      </c>
      <c r="P12" s="215"/>
      <c r="Q12" s="215"/>
      <c r="R12" s="80"/>
      <c r="S12" s="39"/>
      <c r="T12" s="17" t="s">
        <v>32</v>
      </c>
      <c r="U12" s="62"/>
      <c r="W12" s="17"/>
      <c r="X12" s="59"/>
      <c r="Y12" s="59"/>
      <c r="Z12" s="41"/>
      <c r="AA12" s="80"/>
      <c r="AB12" s="39"/>
      <c r="AC12" s="82"/>
      <c r="AD12" s="53"/>
      <c r="AE12" s="39"/>
    </row>
    <row r="13" spans="2:31" ht="21" customHeight="1" x14ac:dyDescent="0.25">
      <c r="B13" s="157">
        <v>12</v>
      </c>
      <c r="C13" s="33"/>
      <c r="D13" s="26">
        <v>46295</v>
      </c>
      <c r="E13" s="32" t="s">
        <v>80</v>
      </c>
      <c r="F13" s="48" t="s">
        <v>27</v>
      </c>
      <c r="G13" s="24">
        <f t="shared" si="5"/>
        <v>4500</v>
      </c>
      <c r="H13" s="57">
        <v>0</v>
      </c>
      <c r="I13" s="57">
        <f>IF(L13="x",0,0.04*(J13+G13))</f>
        <v>180.08</v>
      </c>
      <c r="J13" s="57">
        <v>2</v>
      </c>
      <c r="K13" s="58">
        <f t="shared" si="2"/>
        <v>4682.08</v>
      </c>
      <c r="L13" s="58"/>
      <c r="M13" s="223">
        <f>N13-O13+P13</f>
        <v>22.5</v>
      </c>
      <c r="N13" s="223">
        <v>22</v>
      </c>
      <c r="O13" s="214"/>
      <c r="P13" s="215">
        <v>0.5</v>
      </c>
      <c r="Q13" s="215"/>
      <c r="R13" s="80"/>
      <c r="S13" s="36" t="s">
        <v>33</v>
      </c>
      <c r="T13" s="62">
        <f>G21</f>
        <v>48000</v>
      </c>
      <c r="U13" s="62"/>
      <c r="W13" s="3"/>
      <c r="X13" s="59"/>
      <c r="Y13" s="59"/>
      <c r="Z13" s="41"/>
      <c r="AA13" s="80"/>
      <c r="AB13" s="39"/>
      <c r="AC13" s="82"/>
      <c r="AD13" s="53"/>
      <c r="AE13" s="39"/>
    </row>
    <row r="14" spans="2:31" ht="21" customHeight="1" x14ac:dyDescent="0.25">
      <c r="B14" s="157">
        <v>13</v>
      </c>
      <c r="C14" s="33"/>
      <c r="D14" s="26">
        <v>46326</v>
      </c>
      <c r="E14" s="32" t="s">
        <v>81</v>
      </c>
      <c r="F14" s="48" t="s">
        <v>27</v>
      </c>
      <c r="G14" s="24">
        <f t="shared" si="5"/>
        <v>4600</v>
      </c>
      <c r="H14" s="57">
        <v>0</v>
      </c>
      <c r="I14" s="57">
        <f>IF(L14="x",0,0.04*(J14+G14))</f>
        <v>184.08</v>
      </c>
      <c r="J14" s="57">
        <v>2</v>
      </c>
      <c r="K14" s="58">
        <f t="shared" si="2"/>
        <v>4786.08</v>
      </c>
      <c r="L14" s="58"/>
      <c r="M14" s="223">
        <f t="shared" si="3"/>
        <v>23</v>
      </c>
      <c r="N14" s="223">
        <v>23</v>
      </c>
      <c r="O14" s="214"/>
      <c r="P14" s="215"/>
      <c r="Q14" s="215"/>
      <c r="R14" s="80"/>
      <c r="S14" s="39" t="s">
        <v>35</v>
      </c>
      <c r="T14" s="62">
        <f>T13+SUM(J4:J19)</f>
        <v>48026</v>
      </c>
      <c r="U14" s="62"/>
      <c r="W14" s="36"/>
      <c r="X14" s="59"/>
      <c r="Y14" s="41"/>
      <c r="Z14" s="63"/>
      <c r="AA14" s="63"/>
      <c r="AB14" s="39"/>
      <c r="AC14" s="82"/>
      <c r="AD14" s="53"/>
      <c r="AE14" s="39"/>
    </row>
    <row r="15" spans="2:31" ht="21" customHeight="1" x14ac:dyDescent="0.25">
      <c r="B15" s="157">
        <v>14</v>
      </c>
      <c r="C15" s="33"/>
      <c r="D15" s="26">
        <v>46356</v>
      </c>
      <c r="E15" s="32" t="s">
        <v>82</v>
      </c>
      <c r="F15" s="48" t="s">
        <v>27</v>
      </c>
      <c r="G15" s="24">
        <f t="shared" si="5"/>
        <v>4100</v>
      </c>
      <c r="H15" s="57">
        <v>0</v>
      </c>
      <c r="I15" s="57">
        <f t="shared" ref="I15:I16" si="6">IF(L15="x",0,0.04*(J15+G15))</f>
        <v>164.08</v>
      </c>
      <c r="J15" s="57">
        <v>2</v>
      </c>
      <c r="K15" s="58">
        <f t="shared" si="2"/>
        <v>4266.08</v>
      </c>
      <c r="L15" s="58"/>
      <c r="M15" s="223">
        <f t="shared" si="3"/>
        <v>20.5</v>
      </c>
      <c r="N15" s="223">
        <v>20</v>
      </c>
      <c r="O15" s="214"/>
      <c r="P15" s="215">
        <v>0.5</v>
      </c>
      <c r="Q15" s="215"/>
      <c r="R15" s="80"/>
      <c r="S15" s="36" t="s">
        <v>37</v>
      </c>
      <c r="T15" s="62"/>
      <c r="W15" s="36"/>
      <c r="X15" s="59"/>
      <c r="Y15" s="41"/>
      <c r="Z15" s="63"/>
      <c r="AA15" s="63"/>
      <c r="AB15" s="39"/>
      <c r="AC15" s="41"/>
      <c r="AD15" s="53"/>
      <c r="AE15" s="39"/>
    </row>
    <row r="16" spans="2:31" ht="21" customHeight="1" x14ac:dyDescent="0.25">
      <c r="B16" s="157">
        <v>15</v>
      </c>
      <c r="C16" s="33"/>
      <c r="D16" s="26"/>
      <c r="E16" s="32"/>
      <c r="F16" s="48" t="s">
        <v>156</v>
      </c>
      <c r="G16" s="24"/>
      <c r="H16" s="57"/>
      <c r="I16" s="57">
        <f t="shared" si="6"/>
        <v>0.08</v>
      </c>
      <c r="J16" s="57">
        <v>2</v>
      </c>
      <c r="K16" s="58">
        <f t="shared" si="2"/>
        <v>2.08</v>
      </c>
      <c r="L16" s="58"/>
      <c r="M16" s="58"/>
      <c r="N16" s="58"/>
      <c r="O16" s="58"/>
      <c r="P16" s="215"/>
      <c r="Q16" s="215"/>
      <c r="R16" s="80"/>
      <c r="S16" s="36" t="s">
        <v>38</v>
      </c>
      <c r="T16" s="62">
        <f>0.78*T14</f>
        <v>37460.28</v>
      </c>
      <c r="W16" s="36"/>
      <c r="X16" s="41"/>
      <c r="Y16" s="41"/>
      <c r="Z16" s="63"/>
      <c r="AA16" s="63"/>
      <c r="AB16" s="39"/>
      <c r="AC16" s="41"/>
      <c r="AD16" s="41"/>
      <c r="AE16" s="39"/>
    </row>
    <row r="17" spans="2:31" ht="21" customHeight="1" x14ac:dyDescent="0.25">
      <c r="B17" s="26"/>
      <c r="C17" s="31"/>
      <c r="D17" s="32"/>
      <c r="E17" s="32"/>
      <c r="F17" s="48"/>
      <c r="G17" s="24"/>
      <c r="H17" s="57"/>
      <c r="I17" s="57"/>
      <c r="J17" s="57"/>
      <c r="K17" s="58"/>
      <c r="L17" s="58"/>
      <c r="M17" s="58"/>
      <c r="N17" s="58"/>
      <c r="O17" s="58"/>
      <c r="P17" s="215"/>
      <c r="Q17" s="215"/>
      <c r="R17" s="80"/>
      <c r="S17" s="36"/>
      <c r="T17" s="62"/>
      <c r="W17" s="36"/>
      <c r="X17" s="41"/>
      <c r="Y17" s="41"/>
      <c r="Z17" s="63"/>
      <c r="AA17" s="63"/>
      <c r="AB17" s="39"/>
      <c r="AC17" s="41"/>
      <c r="AD17" s="41"/>
      <c r="AE17" s="39"/>
    </row>
    <row r="18" spans="2:31" ht="21" customHeight="1" x14ac:dyDescent="0.25">
      <c r="B18" s="26"/>
      <c r="C18" s="31"/>
      <c r="D18" s="32"/>
      <c r="E18" s="32"/>
      <c r="F18" s="48"/>
      <c r="G18" s="24"/>
      <c r="H18" s="60"/>
      <c r="I18" s="60"/>
      <c r="J18" s="60"/>
      <c r="K18" s="58"/>
      <c r="L18" s="58"/>
      <c r="M18" s="58"/>
      <c r="N18" s="58"/>
      <c r="O18" s="58"/>
      <c r="P18" s="215"/>
      <c r="Q18" s="215"/>
      <c r="R18" s="80"/>
      <c r="S18" s="36"/>
      <c r="T18" s="62"/>
      <c r="W18" s="36"/>
      <c r="X18" s="41"/>
      <c r="Y18" s="41"/>
      <c r="Z18" s="63"/>
      <c r="AA18" s="63"/>
      <c r="AB18" s="39"/>
      <c r="AC18" s="41"/>
      <c r="AD18" s="41"/>
      <c r="AE18" s="39"/>
    </row>
    <row r="19" spans="2:31" ht="21" customHeight="1" x14ac:dyDescent="0.25">
      <c r="B19" s="29"/>
      <c r="C19" s="34"/>
      <c r="D19" s="35"/>
      <c r="E19" s="35"/>
      <c r="F19" s="72"/>
      <c r="G19" s="25"/>
      <c r="H19" s="73"/>
      <c r="I19" s="73"/>
      <c r="J19" s="73"/>
      <c r="K19" s="74"/>
      <c r="L19" s="74"/>
      <c r="M19" s="74"/>
      <c r="N19" s="74"/>
      <c r="O19" s="74"/>
      <c r="P19" s="216"/>
      <c r="Q19" s="216"/>
      <c r="R19" s="80"/>
      <c r="S19" s="36" t="s">
        <v>39</v>
      </c>
      <c r="T19" s="4">
        <f>0.15*(T16-T26)</f>
        <v>4505.3249100000003</v>
      </c>
      <c r="V19" s="128" t="s">
        <v>64</v>
      </c>
      <c r="W19" s="128" t="s">
        <v>66</v>
      </c>
      <c r="Y19" s="41"/>
      <c r="Z19" s="63"/>
      <c r="AA19" s="63"/>
      <c r="AB19" s="39"/>
      <c r="AC19" s="41"/>
      <c r="AD19" s="41"/>
      <c r="AE19" s="39"/>
    </row>
    <row r="20" spans="2:31" ht="21" customHeight="1" x14ac:dyDescent="0.25">
      <c r="B20" s="39"/>
      <c r="C20" s="41"/>
      <c r="D20" s="41"/>
      <c r="E20" s="41"/>
      <c r="F20" s="39" t="s">
        <v>44</v>
      </c>
      <c r="G20" s="75">
        <f>SUBTOTAL(9,G4:G19)</f>
        <v>48000</v>
      </c>
      <c r="H20" s="76"/>
      <c r="I20" s="75">
        <f>SUBTOTAL(9,I4:I19)</f>
        <v>1921.0399999999997</v>
      </c>
      <c r="J20" s="12" t="s">
        <v>45</v>
      </c>
      <c r="K20" s="11">
        <f>SUBTOTAL(9,K4:K19)</f>
        <v>49947.040000000015</v>
      </c>
      <c r="L20" s="4"/>
      <c r="M20" s="217">
        <f>SUM(M4:M15)</f>
        <v>240</v>
      </c>
      <c r="N20" s="217">
        <f>SUM(N4:N15)</f>
        <v>251</v>
      </c>
      <c r="O20" s="39"/>
      <c r="P20" s="39"/>
      <c r="Q20" s="41"/>
      <c r="R20" s="80"/>
      <c r="V20" s="53"/>
      <c r="W20" s="181"/>
      <c r="Y20" s="41"/>
      <c r="Z20" s="63"/>
      <c r="AA20" s="63"/>
      <c r="AB20" s="39"/>
      <c r="AC20" s="41"/>
      <c r="AD20" s="41"/>
      <c r="AE20" s="39"/>
    </row>
    <row r="21" spans="2:31" ht="21" customHeight="1" x14ac:dyDescent="0.25">
      <c r="B21" s="39"/>
      <c r="C21" s="41"/>
      <c r="D21" s="41"/>
      <c r="E21" s="41"/>
      <c r="F21" s="39" t="s">
        <v>46</v>
      </c>
      <c r="G21" s="77">
        <f>SUM(G4:G19)</f>
        <v>48000</v>
      </c>
      <c r="H21" s="61"/>
      <c r="I21" s="41"/>
      <c r="J21" s="39"/>
      <c r="K21" s="39"/>
      <c r="L21" s="39"/>
      <c r="M21" s="224">
        <f>SUM(M4:M15)</f>
        <v>240</v>
      </c>
      <c r="N21" s="39"/>
      <c r="O21" s="39"/>
      <c r="P21" s="39"/>
      <c r="Q21" s="41"/>
      <c r="R21" s="80"/>
      <c r="S21" s="65"/>
      <c r="T21" s="18"/>
      <c r="U21" s="62"/>
      <c r="V21" s="39"/>
      <c r="W21" s="41"/>
      <c r="Y21" s="41"/>
      <c r="Z21" s="41"/>
      <c r="AA21" s="39"/>
      <c r="AB21" s="39"/>
      <c r="AC21" s="41"/>
      <c r="AD21" s="41"/>
      <c r="AE21" s="39"/>
    </row>
    <row r="22" spans="2:31" ht="21" customHeight="1" x14ac:dyDescent="0.25">
      <c r="B22" s="39"/>
      <c r="C22" s="41"/>
      <c r="D22" s="41"/>
      <c r="E22" s="41"/>
      <c r="F22" s="39"/>
      <c r="G22" s="78"/>
      <c r="H22" s="61"/>
      <c r="I22" s="41"/>
      <c r="J22" s="39"/>
      <c r="K22" s="39"/>
      <c r="L22" s="39"/>
      <c r="M22" s="39"/>
      <c r="N22" s="39"/>
      <c r="O22" s="39"/>
      <c r="P22" s="39"/>
      <c r="Q22" s="41"/>
      <c r="R22" s="80"/>
      <c r="S22" s="3" t="s">
        <v>40</v>
      </c>
      <c r="T22" s="39"/>
      <c r="U22" s="164"/>
      <c r="V22" s="128" t="s">
        <v>64</v>
      </c>
      <c r="W22" s="128" t="s">
        <v>66</v>
      </c>
      <c r="Y22" s="41"/>
      <c r="Z22" s="41"/>
      <c r="AA22" s="39"/>
      <c r="AB22" s="39"/>
      <c r="AC22" s="41"/>
      <c r="AD22" s="41"/>
      <c r="AE22" s="39"/>
    </row>
    <row r="23" spans="2:31" ht="21" customHeight="1" x14ac:dyDescent="0.25">
      <c r="B23" s="39"/>
      <c r="C23" s="41"/>
      <c r="D23" s="41"/>
      <c r="E23" s="41"/>
      <c r="F23" s="39"/>
      <c r="G23" s="39"/>
      <c r="H23" s="39"/>
      <c r="I23" s="39"/>
      <c r="J23" s="41"/>
      <c r="K23" s="39"/>
      <c r="L23" s="39"/>
      <c r="M23" s="39"/>
      <c r="N23" s="79"/>
      <c r="O23" s="79"/>
      <c r="P23" s="79"/>
      <c r="Q23" s="68"/>
      <c r="R23" s="80"/>
      <c r="S23" s="66" t="s">
        <v>41</v>
      </c>
      <c r="T23" s="67">
        <f>MAX(780,0.0725*T16)*IF(U26="Sì",1,2)</f>
        <v>5431.7405999999992</v>
      </c>
      <c r="U23" s="41"/>
      <c r="V23" s="53"/>
      <c r="W23" s="129"/>
      <c r="Y23" s="41"/>
      <c r="Z23" s="41"/>
      <c r="AA23" s="39"/>
      <c r="AB23" s="39"/>
      <c r="AC23" s="41"/>
      <c r="AD23" s="41"/>
      <c r="AE23" s="39"/>
    </row>
    <row r="24" spans="2:31" ht="21" customHeight="1" x14ac:dyDescent="0.25">
      <c r="B24" s="39"/>
      <c r="C24" s="41"/>
      <c r="D24" s="41"/>
      <c r="E24" s="41"/>
      <c r="F24" s="39"/>
      <c r="G24" s="39"/>
      <c r="H24" s="39"/>
      <c r="I24" s="39"/>
      <c r="J24" s="41"/>
      <c r="K24" s="50"/>
      <c r="L24" s="50"/>
      <c r="M24" s="50"/>
      <c r="N24" s="50"/>
      <c r="O24" s="50"/>
      <c r="P24" s="50"/>
      <c r="Q24" s="221"/>
      <c r="R24" s="80"/>
      <c r="S24" s="36" t="s">
        <v>42</v>
      </c>
      <c r="T24" s="62">
        <f>MAX(231.5,I20)</f>
        <v>1921.0399999999997</v>
      </c>
      <c r="U24" s="63"/>
      <c r="V24" s="53"/>
      <c r="W24" s="129"/>
      <c r="Y24" s="41"/>
      <c r="Z24" s="41"/>
      <c r="AA24" s="39"/>
      <c r="AB24" s="39"/>
      <c r="AC24" s="41"/>
      <c r="AD24" s="41"/>
      <c r="AE24" s="39"/>
    </row>
    <row r="25" spans="2:31" ht="21" customHeight="1" x14ac:dyDescent="0.25">
      <c r="B25" s="39"/>
      <c r="C25" s="41"/>
      <c r="D25" s="41"/>
      <c r="E25" s="41"/>
      <c r="F25" s="39"/>
      <c r="G25" s="39"/>
      <c r="H25" s="39"/>
      <c r="I25" s="39"/>
      <c r="J25" s="41"/>
      <c r="K25" s="39"/>
      <c r="L25" s="39"/>
      <c r="M25" s="39"/>
      <c r="N25" s="39"/>
      <c r="O25" s="39"/>
      <c r="P25" s="39"/>
      <c r="Q25" s="41"/>
      <c r="R25" s="80"/>
      <c r="S25" s="36" t="s">
        <v>43</v>
      </c>
      <c r="T25" s="62">
        <v>72</v>
      </c>
      <c r="U25" s="41" t="s">
        <v>97</v>
      </c>
      <c r="V25" s="4"/>
      <c r="W25" s="129"/>
      <c r="Y25" s="41"/>
      <c r="Z25" s="41"/>
      <c r="AA25" s="39"/>
      <c r="AB25" s="39"/>
      <c r="AC25" s="41"/>
      <c r="AD25" s="41"/>
      <c r="AE25" s="39"/>
    </row>
    <row r="26" spans="2:31" ht="24.95" customHeight="1" x14ac:dyDescent="0.25">
      <c r="B26" s="39"/>
      <c r="C26" s="41"/>
      <c r="D26" s="41"/>
      <c r="E26" s="41"/>
      <c r="F26" s="39"/>
      <c r="G26" s="39"/>
      <c r="H26" s="39"/>
      <c r="I26" s="39"/>
      <c r="J26" s="41"/>
      <c r="K26" s="39"/>
      <c r="L26" s="39"/>
      <c r="M26" s="39" t="s">
        <v>143</v>
      </c>
      <c r="N26" s="39"/>
      <c r="O26" s="61">
        <f>(T19+T26)*SUM(K4:K9)/K20-V26+'2024 reale'!U25</f>
        <v>5989.6264266651378</v>
      </c>
      <c r="P26" s="39"/>
      <c r="Q26" s="41"/>
      <c r="R26" s="41"/>
      <c r="S26" s="39"/>
      <c r="T26" s="4">
        <f>SUM(T23:T25)</f>
        <v>7424.7805999999991</v>
      </c>
      <c r="U26" s="41" t="s">
        <v>145</v>
      </c>
      <c r="V26" s="4">
        <f>SUM(V23:V25)</f>
        <v>0</v>
      </c>
      <c r="W26" s="4">
        <f>SUM(W23:W25)</f>
        <v>0</v>
      </c>
      <c r="Y26" s="41"/>
      <c r="Z26" s="41"/>
      <c r="AA26" s="39"/>
      <c r="AB26" s="39"/>
      <c r="AC26" s="41"/>
      <c r="AD26" s="41"/>
      <c r="AE26" s="39"/>
    </row>
    <row r="27" spans="2:31" ht="24.95" customHeight="1" x14ac:dyDescent="0.25">
      <c r="B27" s="39"/>
      <c r="C27" s="41"/>
      <c r="D27" s="41"/>
      <c r="E27" s="41"/>
      <c r="F27" s="39"/>
      <c r="G27" s="39"/>
      <c r="H27" s="39"/>
      <c r="I27" s="39"/>
      <c r="J27" s="41"/>
      <c r="K27" s="39"/>
      <c r="L27" s="39"/>
      <c r="M27" s="39"/>
      <c r="N27" s="39"/>
      <c r="O27" s="39"/>
      <c r="P27" s="39"/>
      <c r="Q27" s="41"/>
      <c r="R27" s="41"/>
      <c r="T27" s="1"/>
      <c r="U27" s="1"/>
      <c r="V27" s="1"/>
      <c r="X27" s="41"/>
      <c r="Y27" s="41"/>
      <c r="Z27" s="41"/>
      <c r="AA27" s="39"/>
      <c r="AB27" s="39"/>
      <c r="AC27" s="41"/>
      <c r="AD27" s="41"/>
      <c r="AE27" s="39"/>
    </row>
    <row r="28" spans="2:31" ht="24.95" customHeight="1" x14ac:dyDescent="0.25">
      <c r="R28" s="41"/>
      <c r="S28" s="38"/>
      <c r="T28" s="51">
        <f>(K20-T29)/K20</f>
        <v>0.23885510552777497</v>
      </c>
      <c r="U28" s="51"/>
      <c r="V28" s="171">
        <f>1-(G20-T19-T23-T25)/G20</f>
        <v>0.20852219812500006</v>
      </c>
      <c r="W28" s="83"/>
      <c r="X28" s="53"/>
      <c r="Y28" s="41"/>
      <c r="Z28" s="41"/>
      <c r="AA28" s="39"/>
      <c r="AB28" s="39"/>
      <c r="AC28" s="41"/>
      <c r="AD28" s="41"/>
      <c r="AE28" s="39"/>
    </row>
    <row r="29" spans="2:31" ht="24.95" customHeight="1" x14ac:dyDescent="0.25">
      <c r="R29" s="68"/>
      <c r="S29" s="46" t="s">
        <v>56</v>
      </c>
      <c r="T29" s="47">
        <f>K20-T19-T26</f>
        <v>38016.934490000014</v>
      </c>
      <c r="U29" s="50"/>
      <c r="V29" s="62"/>
      <c r="W29" s="39"/>
      <c r="X29" s="53"/>
      <c r="Y29" s="41"/>
      <c r="Z29" s="41"/>
      <c r="AA29" s="39"/>
      <c r="AB29" s="39"/>
      <c r="AC29" s="41"/>
      <c r="AD29" s="41"/>
      <c r="AE29" s="39"/>
    </row>
    <row r="30" spans="2:31" ht="24.95" customHeight="1" thickBot="1" x14ac:dyDescent="0.3">
      <c r="R30" s="221"/>
      <c r="S30" s="39"/>
      <c r="T30" s="41"/>
      <c r="U30" s="41"/>
      <c r="V30" s="41"/>
      <c r="Y30" s="41"/>
      <c r="Z30" s="41"/>
      <c r="AA30" s="39"/>
      <c r="AB30" s="39"/>
      <c r="AC30" s="41"/>
      <c r="AD30" s="41"/>
      <c r="AE30" s="39"/>
    </row>
    <row r="31" spans="2:31" ht="24.95" customHeight="1" thickBot="1" x14ac:dyDescent="0.3">
      <c r="R31" s="41"/>
      <c r="S31" s="46" t="s">
        <v>57</v>
      </c>
      <c r="T31" s="47">
        <f>T29/12</f>
        <v>3168.0778741666677</v>
      </c>
      <c r="U31" s="50"/>
      <c r="V31" s="41"/>
      <c r="W31" s="166" t="s">
        <v>157</v>
      </c>
      <c r="X31" s="165">
        <f>W26+W20</f>
        <v>0</v>
      </c>
      <c r="Y31" s="62">
        <f ca="1">SUMIFS(K4:K15,D4:D15,"&lt;"&amp;TODAY())/K20*(T19+T26)-V26-V20</f>
        <v>6983.7793342801806</v>
      </c>
      <c r="Z31" s="41"/>
      <c r="AA31" s="39"/>
      <c r="AB31" s="39"/>
      <c r="AC31" s="41"/>
      <c r="AD31" s="41"/>
      <c r="AE31" s="39"/>
    </row>
    <row r="32" spans="2:31" ht="24.95" customHeight="1" thickBot="1" x14ac:dyDescent="0.3">
      <c r="R32" s="41"/>
      <c r="S32" s="46" t="s">
        <v>94</v>
      </c>
      <c r="T32" s="47">
        <f>T31/13*12</f>
        <v>2924.3795761538472</v>
      </c>
      <c r="U32" s="50"/>
      <c r="V32" s="41"/>
      <c r="W32" s="166" t="s">
        <v>108</v>
      </c>
      <c r="X32" s="165">
        <f>'2024 reale'!U19+'2024 reale'!U25</f>
        <v>-1.8849999999929423E-2</v>
      </c>
      <c r="Y32" s="170">
        <f ca="1">X32+Y31</f>
        <v>6983.7604842801811</v>
      </c>
      <c r="Z32" s="41"/>
      <c r="AA32" s="39"/>
      <c r="AB32" s="39"/>
      <c r="AC32" s="41"/>
      <c r="AD32" s="41"/>
      <c r="AE32" s="39"/>
    </row>
    <row r="33" spans="18:31" ht="24.95" customHeight="1" x14ac:dyDescent="0.25">
      <c r="R33" s="41"/>
      <c r="S33" s="39"/>
      <c r="T33" s="39"/>
      <c r="U33" s="39"/>
      <c r="V33" s="1"/>
      <c r="X33" s="41"/>
      <c r="Y33" s="41"/>
      <c r="Z33" s="41"/>
      <c r="AA33" s="39"/>
      <c r="AB33" s="39"/>
      <c r="AC33" s="41"/>
      <c r="AD33" s="41"/>
      <c r="AE33" s="39"/>
    </row>
    <row r="34" spans="18:31" ht="24.95" customHeight="1" x14ac:dyDescent="0.25">
      <c r="S34" s="39"/>
      <c r="T34" s="176"/>
      <c r="U34" s="39"/>
      <c r="V34" s="39"/>
      <c r="W34" s="39"/>
    </row>
    <row r="35" spans="18:31" ht="24.95" customHeight="1" x14ac:dyDescent="0.25">
      <c r="S35" s="39"/>
      <c r="T35" s="176"/>
      <c r="U35" s="39"/>
      <c r="V35" s="39"/>
    </row>
    <row r="36" spans="18:31" ht="24.95" customHeight="1" x14ac:dyDescent="0.25">
      <c r="S36" s="39"/>
      <c r="T36" s="173"/>
      <c r="U36" s="39"/>
      <c r="V36" s="39"/>
    </row>
    <row r="37" spans="18:31" ht="24.95" customHeight="1" x14ac:dyDescent="0.25">
      <c r="S37" s="39"/>
      <c r="T37" s="173"/>
      <c r="U37" s="39"/>
      <c r="V37" s="177"/>
      <c r="W37" s="179"/>
    </row>
    <row r="38" spans="18:31" ht="24.95" customHeight="1" x14ac:dyDescent="0.25">
      <c r="S38" s="39"/>
      <c r="T38" s="174"/>
      <c r="U38" s="39"/>
      <c r="V38" s="178"/>
      <c r="W38" s="52"/>
    </row>
    <row r="39" spans="18:31" ht="24.95" customHeight="1" x14ac:dyDescent="0.25">
      <c r="S39" s="39"/>
      <c r="T39" s="175"/>
      <c r="U39" s="1"/>
      <c r="V39" s="1"/>
    </row>
  </sheetData>
  <mergeCells count="2">
    <mergeCell ref="C1:K1"/>
    <mergeCell ref="C2:K2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8985-BA7E-481B-8641-89477B015313}">
  <dimension ref="B1:AD37"/>
  <sheetViews>
    <sheetView showGridLines="0" zoomScale="85" zoomScaleNormal="85" workbookViewId="0">
      <selection activeCell="U27" sqref="U27"/>
    </sheetView>
  </sheetViews>
  <sheetFormatPr defaultColWidth="9.140625" defaultRowHeight="24.95" customHeight="1" x14ac:dyDescent="0.25"/>
  <cols>
    <col min="1" max="1" width="3.42578125" style="1" customWidth="1"/>
    <col min="2" max="2" width="9.140625" style="1" customWidth="1"/>
    <col min="3" max="3" width="8.140625" style="2" customWidth="1"/>
    <col min="4" max="4" width="12.85546875" style="2" customWidth="1"/>
    <col min="5" max="5" width="12.28515625" style="2" customWidth="1"/>
    <col min="6" max="6" width="12.42578125" style="1" customWidth="1"/>
    <col min="7" max="7" width="14.28515625" style="1" customWidth="1"/>
    <col min="8" max="8" width="12.28515625" style="1" hidden="1" customWidth="1"/>
    <col min="9" max="9" width="10.7109375" style="1" customWidth="1"/>
    <col min="10" max="10" width="11.28515625" style="2" customWidth="1"/>
    <col min="11" max="13" width="10.140625" style="1" customWidth="1"/>
    <col min="14" max="14" width="9.140625" style="1" customWidth="1"/>
    <col min="15" max="15" width="10.7109375" style="1" customWidth="1"/>
    <col min="16" max="16" width="10.5703125" style="1" customWidth="1"/>
    <col min="17" max="17" width="22.7109375" style="1" bestFit="1" customWidth="1"/>
    <col min="18" max="18" width="25" style="1" customWidth="1"/>
    <col min="19" max="20" width="18" style="2" customWidth="1"/>
    <col min="21" max="21" width="23" style="2" customWidth="1"/>
    <col min="22" max="22" width="22" style="1" customWidth="1"/>
    <col min="23" max="23" width="17.42578125" style="2" customWidth="1"/>
    <col min="24" max="24" width="24.140625" style="2" customWidth="1"/>
    <col min="25" max="25" width="17.140625" style="2" customWidth="1"/>
    <col min="26" max="26" width="9.42578125" style="1" customWidth="1"/>
    <col min="27" max="27" width="13.7109375" style="1" customWidth="1"/>
    <col min="28" max="28" width="12.85546875" style="2" customWidth="1"/>
    <col min="29" max="29" width="11.42578125" style="2" customWidth="1"/>
    <col min="30" max="16384" width="9.140625" style="1"/>
  </cols>
  <sheetData>
    <row r="1" spans="2:30" ht="28.5" customHeight="1" x14ac:dyDescent="0.25">
      <c r="B1" s="39"/>
      <c r="C1" s="229" t="s">
        <v>0</v>
      </c>
      <c r="D1" s="229"/>
      <c r="E1" s="229"/>
      <c r="F1" s="229"/>
      <c r="G1" s="229"/>
      <c r="H1" s="229"/>
      <c r="I1" s="229"/>
      <c r="J1" s="229"/>
      <c r="K1" s="229"/>
      <c r="L1" s="86"/>
      <c r="M1" s="86"/>
      <c r="N1" s="39"/>
      <c r="O1" s="39"/>
      <c r="P1" s="39"/>
      <c r="Q1" s="39"/>
      <c r="R1" s="39"/>
      <c r="S1" s="41"/>
      <c r="T1" s="41"/>
      <c r="U1" s="41"/>
      <c r="V1" s="39"/>
      <c r="W1" s="41"/>
      <c r="X1" s="41"/>
      <c r="Y1" s="41"/>
      <c r="Z1" s="39"/>
      <c r="AA1" s="39"/>
      <c r="AB1" s="41"/>
      <c r="AC1" s="41"/>
      <c r="AD1" s="39"/>
    </row>
    <row r="2" spans="2:30" ht="13.5" customHeight="1" x14ac:dyDescent="0.25">
      <c r="B2" s="39"/>
      <c r="C2" s="230" t="s">
        <v>132</v>
      </c>
      <c r="D2" s="230"/>
      <c r="E2" s="230"/>
      <c r="F2" s="230"/>
      <c r="G2" s="230"/>
      <c r="H2" s="230" t="s">
        <v>2</v>
      </c>
      <c r="I2" s="230"/>
      <c r="J2" s="230"/>
      <c r="K2" s="230"/>
      <c r="L2" s="18"/>
      <c r="M2" s="18"/>
      <c r="N2" s="39"/>
      <c r="O2" s="39"/>
      <c r="P2" s="39"/>
      <c r="Q2" s="39"/>
      <c r="R2" s="39"/>
      <c r="S2" s="41"/>
      <c r="T2" s="41"/>
      <c r="U2" s="41"/>
      <c r="V2" s="39"/>
      <c r="W2" s="41"/>
      <c r="X2" s="41"/>
      <c r="Y2" s="41"/>
      <c r="Z2" s="39"/>
      <c r="AA2" s="39"/>
      <c r="AB2" s="41"/>
      <c r="AC2" s="41"/>
      <c r="AD2" s="39"/>
    </row>
    <row r="3" spans="2:30" ht="47.45" customHeight="1" x14ac:dyDescent="0.2">
      <c r="B3" s="5" t="s">
        <v>88</v>
      </c>
      <c r="C3" s="207" t="s">
        <v>133</v>
      </c>
      <c r="D3" s="208" t="s">
        <v>134</v>
      </c>
      <c r="E3" s="14" t="s">
        <v>86</v>
      </c>
      <c r="F3" s="7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9" t="s">
        <v>16</v>
      </c>
      <c r="L3" s="10" t="s">
        <v>135</v>
      </c>
      <c r="M3" s="208" t="s">
        <v>138</v>
      </c>
      <c r="N3" s="208" t="s">
        <v>136</v>
      </c>
      <c r="O3" s="208" t="s">
        <v>140</v>
      </c>
      <c r="P3" s="208" t="s">
        <v>137</v>
      </c>
      <c r="Q3" s="39"/>
      <c r="R3" s="39"/>
      <c r="S3" s="39"/>
      <c r="T3" s="39"/>
      <c r="U3" s="41"/>
      <c r="V3" s="39"/>
      <c r="W3" s="41"/>
      <c r="X3" s="37"/>
      <c r="Y3" s="37"/>
      <c r="Z3" s="18"/>
      <c r="AA3" s="39"/>
      <c r="AB3" s="41"/>
      <c r="AC3" s="41"/>
      <c r="AD3" s="39"/>
    </row>
    <row r="4" spans="2:30" ht="21" customHeight="1" x14ac:dyDescent="0.25">
      <c r="B4" s="156">
        <v>17</v>
      </c>
      <c r="C4" s="130" t="s">
        <v>22</v>
      </c>
      <c r="D4" s="133">
        <v>45657</v>
      </c>
      <c r="E4" s="131" t="s">
        <v>83</v>
      </c>
      <c r="F4" s="134" t="s">
        <v>27</v>
      </c>
      <c r="G4" s="24">
        <v>4000</v>
      </c>
      <c r="H4" s="136">
        <v>0</v>
      </c>
      <c r="I4" s="136">
        <f t="shared" ref="I4:I5" si="0">IF(L4="x",0,0.04*(J4+G4))</f>
        <v>160.08000000000001</v>
      </c>
      <c r="J4" s="136">
        <v>2</v>
      </c>
      <c r="K4" s="137">
        <f t="shared" ref="K4:K15" si="1">G4+I4+J4</f>
        <v>4162.08</v>
      </c>
      <c r="L4" s="137"/>
      <c r="M4" s="209">
        <f>N4-O4+P4</f>
        <v>15</v>
      </c>
      <c r="N4" s="209">
        <v>20</v>
      </c>
      <c r="O4" s="213">
        <v>5</v>
      </c>
      <c r="P4" s="213"/>
      <c r="Q4" s="61"/>
      <c r="R4" s="61"/>
      <c r="S4" s="62"/>
      <c r="T4" s="41"/>
      <c r="U4" s="41"/>
      <c r="V4" s="39"/>
      <c r="W4" s="59"/>
      <c r="X4" s="53"/>
      <c r="Y4" s="41"/>
      <c r="Z4" s="80"/>
      <c r="AA4" s="81"/>
      <c r="AB4" s="53"/>
      <c r="AC4" s="53"/>
      <c r="AD4" s="39"/>
    </row>
    <row r="5" spans="2:30" ht="21" customHeight="1" x14ac:dyDescent="0.25">
      <c r="B5" s="157">
        <v>1</v>
      </c>
      <c r="C5" s="31" t="s">
        <v>22</v>
      </c>
      <c r="D5" s="26">
        <v>45688</v>
      </c>
      <c r="E5" s="32" t="s">
        <v>72</v>
      </c>
      <c r="F5" s="48" t="s">
        <v>27</v>
      </c>
      <c r="G5" s="24">
        <v>4000</v>
      </c>
      <c r="H5" s="57">
        <v>0</v>
      </c>
      <c r="I5" s="57">
        <f t="shared" si="0"/>
        <v>160.08000000000001</v>
      </c>
      <c r="J5" s="57">
        <v>2</v>
      </c>
      <c r="K5" s="58">
        <f t="shared" si="1"/>
        <v>4162.08</v>
      </c>
      <c r="L5" s="58"/>
      <c r="M5" s="210">
        <f t="shared" ref="M5:M9" si="2">N5-O5+P5</f>
        <v>21</v>
      </c>
      <c r="N5" s="210">
        <v>21</v>
      </c>
      <c r="O5" s="214"/>
      <c r="P5" s="215"/>
      <c r="Q5" s="39"/>
      <c r="R5" s="39"/>
      <c r="S5" s="59"/>
      <c r="T5" s="59"/>
      <c r="U5" s="59"/>
      <c r="V5" s="41"/>
      <c r="W5" s="80"/>
      <c r="X5" s="81"/>
      <c r="Y5" s="53"/>
      <c r="Z5" s="53"/>
      <c r="AA5" s="39"/>
      <c r="AB5" s="1"/>
      <c r="AC5" s="1"/>
    </row>
    <row r="6" spans="2:30" ht="21" customHeight="1" x14ac:dyDescent="0.25">
      <c r="B6" s="157">
        <v>2</v>
      </c>
      <c r="C6" s="31" t="s">
        <v>22</v>
      </c>
      <c r="D6" s="26">
        <v>45716</v>
      </c>
      <c r="E6" s="32" t="s">
        <v>73</v>
      </c>
      <c r="F6" s="48" t="s">
        <v>27</v>
      </c>
      <c r="G6" s="24">
        <v>4000</v>
      </c>
      <c r="H6" s="57">
        <v>0</v>
      </c>
      <c r="I6" s="57">
        <f>IF(L6="x",0,0.04*(J6+G6))</f>
        <v>160.08000000000001</v>
      </c>
      <c r="J6" s="57">
        <v>2</v>
      </c>
      <c r="K6" s="58">
        <f>G6+I6+J6</f>
        <v>4162.08</v>
      </c>
      <c r="L6" s="58"/>
      <c r="M6" s="210">
        <f t="shared" si="2"/>
        <v>20</v>
      </c>
      <c r="N6" s="210">
        <v>20</v>
      </c>
      <c r="O6" s="214"/>
      <c r="P6" s="215"/>
      <c r="Q6" s="39"/>
      <c r="R6" s="39"/>
      <c r="S6" s="59"/>
      <c r="T6" s="59"/>
      <c r="U6" s="169"/>
      <c r="V6" s="41"/>
      <c r="W6" s="80"/>
      <c r="X6" s="81"/>
      <c r="Y6" s="53"/>
      <c r="Z6" s="53"/>
      <c r="AA6" s="39"/>
      <c r="AB6" s="1"/>
      <c r="AC6" s="1"/>
    </row>
    <row r="7" spans="2:30" ht="21" customHeight="1" x14ac:dyDescent="0.25">
      <c r="B7" s="157">
        <v>4</v>
      </c>
      <c r="C7" s="31" t="s">
        <v>22</v>
      </c>
      <c r="D7" s="26">
        <v>45747</v>
      </c>
      <c r="E7" s="32" t="s">
        <v>74</v>
      </c>
      <c r="F7" s="48" t="s">
        <v>27</v>
      </c>
      <c r="G7" s="24">
        <v>4000</v>
      </c>
      <c r="H7" s="57">
        <v>0</v>
      </c>
      <c r="I7" s="57">
        <f>IF(L7="x",0,0.04*(J7+G7))</f>
        <v>160.08000000000001</v>
      </c>
      <c r="J7" s="57">
        <v>2</v>
      </c>
      <c r="K7" s="58">
        <f t="shared" si="1"/>
        <v>4162.08</v>
      </c>
      <c r="L7" s="58"/>
      <c r="M7" s="210">
        <f t="shared" si="2"/>
        <v>21</v>
      </c>
      <c r="N7" s="210">
        <v>21</v>
      </c>
      <c r="O7" s="214"/>
      <c r="P7" s="215"/>
      <c r="Q7" s="39"/>
      <c r="R7" s="211" t="s">
        <v>141</v>
      </c>
      <c r="S7" s="212">
        <v>165</v>
      </c>
      <c r="T7" s="59"/>
      <c r="U7" s="59"/>
      <c r="V7" s="41"/>
      <c r="W7" s="80"/>
      <c r="X7" s="39"/>
      <c r="Y7" s="82"/>
      <c r="Z7" s="53"/>
      <c r="AA7" s="39"/>
      <c r="AB7" s="1"/>
      <c r="AC7" s="1"/>
    </row>
    <row r="8" spans="2:30" ht="21" customHeight="1" x14ac:dyDescent="0.25">
      <c r="B8" s="157">
        <v>5</v>
      </c>
      <c r="C8" s="31" t="s">
        <v>22</v>
      </c>
      <c r="D8" s="26">
        <v>45777</v>
      </c>
      <c r="E8" s="32" t="s">
        <v>75</v>
      </c>
      <c r="F8" s="48" t="s">
        <v>27</v>
      </c>
      <c r="G8" s="24">
        <v>4000</v>
      </c>
      <c r="H8" s="57">
        <v>0</v>
      </c>
      <c r="I8" s="57">
        <f>IF(L8="x",0,0.04*(J8+G8))</f>
        <v>160.08000000000001</v>
      </c>
      <c r="J8" s="57">
        <v>2</v>
      </c>
      <c r="K8" s="58">
        <f t="shared" si="1"/>
        <v>4162.08</v>
      </c>
      <c r="L8" s="58"/>
      <c r="M8" s="210">
        <f t="shared" si="2"/>
        <v>20</v>
      </c>
      <c r="N8" s="210">
        <v>20</v>
      </c>
      <c r="O8" s="214"/>
      <c r="P8" s="215"/>
      <c r="Q8" s="39"/>
      <c r="R8" s="39"/>
      <c r="S8" s="59"/>
      <c r="T8" s="59"/>
      <c r="U8" s="59"/>
      <c r="V8" s="41"/>
      <c r="W8" s="80"/>
      <c r="X8" s="39"/>
      <c r="Y8" s="82"/>
      <c r="Z8" s="53"/>
      <c r="AA8" s="39"/>
      <c r="AB8" s="1"/>
      <c r="AC8" s="1"/>
    </row>
    <row r="9" spans="2:30" ht="21" customHeight="1" x14ac:dyDescent="0.25">
      <c r="B9" s="157">
        <v>7</v>
      </c>
      <c r="C9" s="33" t="s">
        <v>22</v>
      </c>
      <c r="D9" s="26">
        <v>45808</v>
      </c>
      <c r="E9" s="32" t="s">
        <v>76</v>
      </c>
      <c r="F9" s="48" t="s">
        <v>27</v>
      </c>
      <c r="G9" s="24">
        <v>4000</v>
      </c>
      <c r="H9" s="57">
        <v>0</v>
      </c>
      <c r="I9" s="57">
        <f t="shared" ref="I9:I13" si="3">IF(L9="x",0,0.04*(J9+G9))</f>
        <v>160.08000000000001</v>
      </c>
      <c r="J9" s="57">
        <v>2</v>
      </c>
      <c r="K9" s="58">
        <f t="shared" si="1"/>
        <v>4162.08</v>
      </c>
      <c r="L9" s="58"/>
      <c r="M9" s="210">
        <f t="shared" si="2"/>
        <v>17</v>
      </c>
      <c r="N9" s="210">
        <v>21</v>
      </c>
      <c r="O9" s="214">
        <v>4</v>
      </c>
      <c r="P9" s="215"/>
      <c r="Q9" s="39"/>
      <c r="R9" s="39"/>
      <c r="S9" s="59"/>
      <c r="T9" s="59"/>
      <c r="U9" s="161"/>
      <c r="V9" s="41"/>
      <c r="W9" s="80"/>
      <c r="X9" s="39"/>
      <c r="Y9" s="82"/>
      <c r="Z9" s="53"/>
      <c r="AA9" s="39"/>
      <c r="AB9" s="1"/>
      <c r="AC9" s="1"/>
    </row>
    <row r="10" spans="2:30" ht="21" customHeight="1" x14ac:dyDescent="0.25">
      <c r="B10" s="157">
        <v>9</v>
      </c>
      <c r="C10" s="33"/>
      <c r="D10" s="26">
        <v>45838</v>
      </c>
      <c r="E10" s="32" t="s">
        <v>77</v>
      </c>
      <c r="F10" s="48" t="s">
        <v>27</v>
      </c>
      <c r="G10" s="24">
        <v>4000</v>
      </c>
      <c r="H10" s="57">
        <v>0</v>
      </c>
      <c r="I10" s="57">
        <f t="shared" si="3"/>
        <v>160.08000000000001</v>
      </c>
      <c r="J10" s="57">
        <v>2</v>
      </c>
      <c r="K10" s="58">
        <f t="shared" si="1"/>
        <v>4162.08</v>
      </c>
      <c r="L10" s="58"/>
      <c r="M10" s="220">
        <f t="shared" ref="M10:M15" si="4">N10-O10+P10</f>
        <v>20</v>
      </c>
      <c r="N10" s="220">
        <v>20</v>
      </c>
      <c r="O10" s="214"/>
      <c r="P10" s="215"/>
      <c r="Q10" s="39"/>
      <c r="R10" s="39"/>
      <c r="U10" s="59"/>
      <c r="V10" s="41"/>
      <c r="W10" s="80"/>
      <c r="X10" s="39"/>
      <c r="Y10" s="82"/>
      <c r="Z10" s="53"/>
      <c r="AA10" s="39"/>
      <c r="AB10" s="1"/>
      <c r="AC10" s="1"/>
    </row>
    <row r="11" spans="2:30" ht="21" customHeight="1" x14ac:dyDescent="0.25">
      <c r="B11" s="157">
        <v>10</v>
      </c>
      <c r="C11" s="33"/>
      <c r="D11" s="26">
        <v>45869</v>
      </c>
      <c r="E11" s="32" t="s">
        <v>78</v>
      </c>
      <c r="F11" s="48" t="s">
        <v>27</v>
      </c>
      <c r="G11" s="24">
        <v>4000</v>
      </c>
      <c r="H11" s="57">
        <v>0</v>
      </c>
      <c r="I11" s="57">
        <f t="shared" si="3"/>
        <v>160.08000000000001</v>
      </c>
      <c r="J11" s="57">
        <v>2</v>
      </c>
      <c r="K11" s="58">
        <f t="shared" si="1"/>
        <v>4162.08</v>
      </c>
      <c r="L11" s="58"/>
      <c r="M11" s="220">
        <f t="shared" si="4"/>
        <v>23</v>
      </c>
      <c r="N11" s="220">
        <v>23</v>
      </c>
      <c r="O11" s="214"/>
      <c r="P11" s="215"/>
      <c r="Q11" s="61"/>
      <c r="R11" s="3" t="s">
        <v>31</v>
      </c>
      <c r="S11" s="18">
        <v>0.78</v>
      </c>
      <c r="T11" s="18"/>
      <c r="V11" s="39"/>
      <c r="W11" s="59"/>
      <c r="X11" s="59"/>
      <c r="Y11" s="41"/>
      <c r="Z11" s="80"/>
      <c r="AA11" s="39"/>
      <c r="AB11" s="82"/>
      <c r="AC11" s="53"/>
      <c r="AD11" s="39"/>
    </row>
    <row r="12" spans="2:30" ht="21" customHeight="1" x14ac:dyDescent="0.25">
      <c r="B12" s="157">
        <v>11</v>
      </c>
      <c r="C12" s="33"/>
      <c r="D12" s="26">
        <v>45900</v>
      </c>
      <c r="E12" s="32" t="s">
        <v>79</v>
      </c>
      <c r="F12" s="48" t="s">
        <v>27</v>
      </c>
      <c r="G12" s="24">
        <v>4000</v>
      </c>
      <c r="H12" s="57">
        <v>0</v>
      </c>
      <c r="I12" s="57">
        <f t="shared" si="3"/>
        <v>160.08000000000001</v>
      </c>
      <c r="J12" s="57">
        <v>2</v>
      </c>
      <c r="K12" s="58">
        <f t="shared" si="1"/>
        <v>4162.08</v>
      </c>
      <c r="L12" s="58"/>
      <c r="M12" s="220">
        <f>N12-O12+P12</f>
        <v>10</v>
      </c>
      <c r="N12" s="220">
        <v>20</v>
      </c>
      <c r="O12" s="214">
        <v>10</v>
      </c>
      <c r="P12" s="215"/>
      <c r="Q12" s="39"/>
      <c r="R12" s="39"/>
      <c r="S12" s="17" t="s">
        <v>32</v>
      </c>
      <c r="T12" s="62"/>
      <c r="V12" s="17"/>
      <c r="W12" s="59"/>
      <c r="X12" s="59"/>
      <c r="Y12" s="41"/>
      <c r="Z12" s="80"/>
      <c r="AA12" s="39"/>
      <c r="AB12" s="82"/>
      <c r="AC12" s="53"/>
      <c r="AD12" s="39"/>
    </row>
    <row r="13" spans="2:30" ht="21" customHeight="1" x14ac:dyDescent="0.25">
      <c r="B13" s="157">
        <v>12</v>
      </c>
      <c r="C13" s="33"/>
      <c r="D13" s="26">
        <v>45930</v>
      </c>
      <c r="E13" s="32" t="s">
        <v>80</v>
      </c>
      <c r="F13" s="48" t="s">
        <v>27</v>
      </c>
      <c r="G13" s="24">
        <v>4000</v>
      </c>
      <c r="H13" s="57">
        <v>0</v>
      </c>
      <c r="I13" s="57">
        <f t="shared" si="3"/>
        <v>160.08000000000001</v>
      </c>
      <c r="J13" s="57">
        <v>2</v>
      </c>
      <c r="K13" s="58">
        <f t="shared" si="1"/>
        <v>4162.08</v>
      </c>
      <c r="L13" s="58"/>
      <c r="M13" s="220">
        <f>N13-O13+P13</f>
        <v>22</v>
      </c>
      <c r="N13" s="220">
        <v>22</v>
      </c>
      <c r="O13" s="214"/>
      <c r="P13" s="215"/>
      <c r="Q13" s="39"/>
      <c r="R13" s="36" t="s">
        <v>33</v>
      </c>
      <c r="S13" s="62">
        <f>G21</f>
        <v>48000</v>
      </c>
      <c r="T13" s="62"/>
      <c r="V13" s="3"/>
      <c r="W13" s="59"/>
      <c r="X13" s="59"/>
      <c r="Y13" s="41"/>
      <c r="Z13" s="80"/>
      <c r="AA13" s="39"/>
      <c r="AB13" s="82"/>
      <c r="AC13" s="53"/>
      <c r="AD13" s="39"/>
    </row>
    <row r="14" spans="2:30" ht="21" customHeight="1" x14ac:dyDescent="0.25">
      <c r="B14" s="157">
        <v>13</v>
      </c>
      <c r="C14" s="33"/>
      <c r="D14" s="26">
        <v>45961</v>
      </c>
      <c r="E14" s="32" t="s">
        <v>81</v>
      </c>
      <c r="F14" s="48" t="s">
        <v>27</v>
      </c>
      <c r="G14" s="24">
        <v>4000</v>
      </c>
      <c r="H14" s="57">
        <v>0</v>
      </c>
      <c r="I14" s="57">
        <f>IF(L14="x",0,0.04*(J14+G14))</f>
        <v>160.08000000000001</v>
      </c>
      <c r="J14" s="57">
        <v>2</v>
      </c>
      <c r="K14" s="58">
        <f t="shared" si="1"/>
        <v>4162.08</v>
      </c>
      <c r="L14" s="58"/>
      <c r="M14" s="220">
        <f t="shared" si="4"/>
        <v>23</v>
      </c>
      <c r="N14" s="220">
        <v>23</v>
      </c>
      <c r="O14" s="214"/>
      <c r="P14" s="215"/>
      <c r="Q14" s="39" t="s">
        <v>144</v>
      </c>
      <c r="R14" s="39" t="s">
        <v>35</v>
      </c>
      <c r="S14" s="62">
        <f>S13+SUM(J4:J19)</f>
        <v>48024</v>
      </c>
      <c r="T14" s="62"/>
      <c r="V14" s="36"/>
      <c r="W14" s="59"/>
      <c r="X14" s="41"/>
      <c r="Y14" s="63"/>
      <c r="Z14" s="63"/>
      <c r="AA14" s="39"/>
      <c r="AB14" s="82"/>
      <c r="AC14" s="53"/>
      <c r="AD14" s="39"/>
    </row>
    <row r="15" spans="2:30" ht="21" customHeight="1" x14ac:dyDescent="0.25">
      <c r="B15" s="157">
        <v>14</v>
      </c>
      <c r="C15" s="33"/>
      <c r="D15" s="26">
        <v>45991</v>
      </c>
      <c r="E15" s="32" t="s">
        <v>82</v>
      </c>
      <c r="F15" s="48" t="s">
        <v>27</v>
      </c>
      <c r="G15" s="24">
        <v>4000</v>
      </c>
      <c r="H15" s="57">
        <v>0</v>
      </c>
      <c r="I15" s="57">
        <f t="shared" ref="I15" si="5">IF(L15="x",0,0.04*(J15+G15))</f>
        <v>160.08000000000001</v>
      </c>
      <c r="J15" s="57">
        <v>2</v>
      </c>
      <c r="K15" s="58">
        <f t="shared" si="1"/>
        <v>4162.08</v>
      </c>
      <c r="L15" s="58"/>
      <c r="M15" s="220">
        <f t="shared" si="4"/>
        <v>19</v>
      </c>
      <c r="N15" s="220">
        <v>20</v>
      </c>
      <c r="O15" s="214">
        <v>1</v>
      </c>
      <c r="P15" s="215"/>
      <c r="Q15" s="39"/>
      <c r="R15" s="36" t="s">
        <v>37</v>
      </c>
      <c r="S15" s="62"/>
      <c r="V15" s="36"/>
      <c r="W15" s="59"/>
      <c r="X15" s="41"/>
      <c r="Y15" s="63"/>
      <c r="Z15" s="63"/>
      <c r="AA15" s="39"/>
      <c r="AB15" s="41"/>
      <c r="AC15" s="53"/>
      <c r="AD15" s="39"/>
    </row>
    <row r="16" spans="2:30" ht="21" customHeight="1" x14ac:dyDescent="0.25">
      <c r="B16" s="157"/>
      <c r="C16" s="33"/>
      <c r="D16" s="26"/>
      <c r="E16" s="32"/>
      <c r="F16" s="48"/>
      <c r="G16" s="24"/>
      <c r="H16" s="57"/>
      <c r="I16" s="57"/>
      <c r="J16" s="57"/>
      <c r="K16" s="58"/>
      <c r="L16" s="58"/>
      <c r="M16" s="58"/>
      <c r="N16" s="58"/>
      <c r="O16" s="58"/>
      <c r="P16" s="215"/>
      <c r="Q16" s="39"/>
      <c r="R16" s="36" t="s">
        <v>38</v>
      </c>
      <c r="S16" s="62">
        <f>0.78*S14</f>
        <v>37458.720000000001</v>
      </c>
      <c r="V16" s="36"/>
      <c r="W16" s="41"/>
      <c r="X16" s="41"/>
      <c r="Y16" s="63"/>
      <c r="Z16" s="63"/>
      <c r="AA16" s="39"/>
      <c r="AB16" s="41"/>
      <c r="AC16" s="41"/>
      <c r="AD16" s="39"/>
    </row>
    <row r="17" spans="2:30" ht="21" customHeight="1" x14ac:dyDescent="0.25">
      <c r="B17" s="26"/>
      <c r="C17" s="31"/>
      <c r="D17" s="32"/>
      <c r="E17" s="32"/>
      <c r="F17" s="48"/>
      <c r="G17" s="24"/>
      <c r="H17" s="57"/>
      <c r="I17" s="57"/>
      <c r="J17" s="57"/>
      <c r="K17" s="58"/>
      <c r="L17" s="58"/>
      <c r="M17" s="58"/>
      <c r="N17" s="58"/>
      <c r="O17" s="58"/>
      <c r="P17" s="215"/>
      <c r="Q17" s="39"/>
      <c r="R17" s="36" t="s">
        <v>39</v>
      </c>
      <c r="S17" s="4">
        <f>0.15*(S16-S24)</f>
        <v>4505.1368400000001</v>
      </c>
      <c r="U17" s="128" t="s">
        <v>64</v>
      </c>
      <c r="V17" s="128" t="s">
        <v>66</v>
      </c>
      <c r="X17" s="41"/>
      <c r="Y17" s="63"/>
      <c r="Z17" s="63"/>
      <c r="AA17" s="39"/>
      <c r="AB17" s="41"/>
      <c r="AC17" s="41"/>
      <c r="AD17" s="39"/>
    </row>
    <row r="18" spans="2:30" ht="21" customHeight="1" x14ac:dyDescent="0.25">
      <c r="B18" s="26"/>
      <c r="C18" s="31"/>
      <c r="D18" s="32"/>
      <c r="E18" s="32"/>
      <c r="F18" s="48"/>
      <c r="G18" s="24"/>
      <c r="H18" s="60"/>
      <c r="I18" s="60"/>
      <c r="J18" s="60"/>
      <c r="K18" s="58"/>
      <c r="L18" s="58"/>
      <c r="M18" s="58"/>
      <c r="N18" s="58"/>
      <c r="O18" s="58"/>
      <c r="P18" s="215"/>
      <c r="Q18" s="39"/>
      <c r="U18" s="53"/>
      <c r="V18" s="181">
        <v>0</v>
      </c>
      <c r="X18" s="41"/>
      <c r="Y18" s="63"/>
      <c r="Z18" s="63"/>
      <c r="AA18" s="39"/>
      <c r="AB18" s="41"/>
      <c r="AC18" s="41"/>
      <c r="AD18" s="39"/>
    </row>
    <row r="19" spans="2:30" ht="21" customHeight="1" x14ac:dyDescent="0.25">
      <c r="B19" s="29"/>
      <c r="C19" s="34"/>
      <c r="D19" s="35"/>
      <c r="E19" s="35"/>
      <c r="F19" s="72"/>
      <c r="G19" s="25"/>
      <c r="H19" s="73"/>
      <c r="I19" s="73"/>
      <c r="J19" s="73"/>
      <c r="K19" s="74"/>
      <c r="L19" s="74"/>
      <c r="M19" s="74"/>
      <c r="N19" s="74"/>
      <c r="O19" s="74"/>
      <c r="P19" s="216"/>
      <c r="Q19" s="39"/>
      <c r="R19" s="65"/>
      <c r="S19" s="18"/>
      <c r="T19" s="62" t="s">
        <v>95</v>
      </c>
      <c r="U19" s="39"/>
      <c r="V19" s="41"/>
      <c r="X19" s="41"/>
      <c r="Y19" s="41"/>
      <c r="Z19" s="39"/>
      <c r="AA19" s="39"/>
      <c r="AB19" s="41"/>
      <c r="AC19" s="41"/>
      <c r="AD19" s="39"/>
    </row>
    <row r="20" spans="2:30" ht="21" customHeight="1" x14ac:dyDescent="0.25">
      <c r="B20" s="39"/>
      <c r="C20" s="41"/>
      <c r="D20" s="41"/>
      <c r="E20" s="41"/>
      <c r="F20" s="39" t="s">
        <v>44</v>
      </c>
      <c r="G20" s="75">
        <f>SUBTOTAL(9,G4:G19)</f>
        <v>48000</v>
      </c>
      <c r="H20" s="76"/>
      <c r="I20" s="75">
        <f>SUBTOTAL(9,I4:I19)</f>
        <v>1920.9599999999998</v>
      </c>
      <c r="J20" s="12" t="s">
        <v>45</v>
      </c>
      <c r="K20" s="11">
        <f>SUBTOTAL(9,K4:K19)</f>
        <v>49944.960000000014</v>
      </c>
      <c r="L20" s="4"/>
      <c r="M20" s="217">
        <f>SUM(M4:M15)</f>
        <v>231</v>
      </c>
      <c r="N20" s="217">
        <f>SUM(N4:N15)</f>
        <v>251</v>
      </c>
      <c r="O20" s="217">
        <f>SUM(O4:O15)</f>
        <v>20</v>
      </c>
      <c r="P20" s="39"/>
      <c r="Q20" s="39"/>
      <c r="R20" s="3" t="s">
        <v>40</v>
      </c>
      <c r="S20" s="39"/>
      <c r="T20" s="164">
        <v>39000</v>
      </c>
      <c r="U20" s="128" t="s">
        <v>64</v>
      </c>
      <c r="V20" s="128" t="s">
        <v>66</v>
      </c>
      <c r="X20" s="41"/>
      <c r="Y20" s="41"/>
      <c r="Z20" s="39"/>
      <c r="AA20" s="39"/>
      <c r="AB20" s="41"/>
      <c r="AC20" s="41"/>
      <c r="AD20" s="39"/>
    </row>
    <row r="21" spans="2:30" ht="21" customHeight="1" x14ac:dyDescent="0.25">
      <c r="B21" s="39"/>
      <c r="C21" s="41"/>
      <c r="D21" s="41"/>
      <c r="E21" s="41"/>
      <c r="F21" s="39" t="s">
        <v>46</v>
      </c>
      <c r="G21" s="77">
        <f>SUM(G4:G19)</f>
        <v>48000</v>
      </c>
      <c r="H21" s="61"/>
      <c r="I21" s="41"/>
      <c r="J21" s="39"/>
      <c r="K21" s="39"/>
      <c r="L21" s="39"/>
      <c r="M21" s="39" t="s">
        <v>139</v>
      </c>
      <c r="N21" s="39"/>
      <c r="O21" s="39"/>
      <c r="P21" s="39"/>
      <c r="Q21" s="39"/>
      <c r="R21" s="66" t="s">
        <v>41</v>
      </c>
      <c r="S21" s="67">
        <f>MAX(780,0.0725*S16)*IF(T24="Sì",1,2)</f>
        <v>5431.5144</v>
      </c>
      <c r="T21" s="41" t="s">
        <v>96</v>
      </c>
      <c r="U21" s="53">
        <v>633.5</v>
      </c>
      <c r="V21" s="129">
        <f>S21-U21</f>
        <v>4798.0144</v>
      </c>
      <c r="X21" s="41"/>
      <c r="Y21" s="41"/>
      <c r="Z21" s="39"/>
      <c r="AA21" s="39"/>
      <c r="AB21" s="41"/>
      <c r="AC21" s="41"/>
      <c r="AD21" s="39"/>
    </row>
    <row r="22" spans="2:30" ht="21" customHeight="1" x14ac:dyDescent="0.25">
      <c r="B22" s="39"/>
      <c r="C22" s="41"/>
      <c r="D22" s="41"/>
      <c r="E22" s="41"/>
      <c r="F22" s="39"/>
      <c r="G22" s="78"/>
      <c r="H22" s="61"/>
      <c r="I22" s="41"/>
      <c r="J22" s="39"/>
      <c r="K22" s="39"/>
      <c r="L22" s="39"/>
      <c r="M22" s="39"/>
      <c r="N22" s="39"/>
      <c r="O22" s="39"/>
      <c r="P22" s="39"/>
      <c r="Q22" s="39"/>
      <c r="R22" s="36" t="s">
        <v>42</v>
      </c>
      <c r="S22" s="62">
        <f>MAX(231.5,I20)</f>
        <v>1920.9599999999998</v>
      </c>
      <c r="T22" s="63">
        <f>(T20-S16)/0.78</f>
        <v>1975.9999999999984</v>
      </c>
      <c r="U22" s="53"/>
      <c r="V22" s="129">
        <f>S22-U22</f>
        <v>1920.9599999999998</v>
      </c>
      <c r="X22" s="41"/>
      <c r="Y22" s="41"/>
      <c r="Z22" s="39"/>
      <c r="AA22" s="39"/>
      <c r="AB22" s="41"/>
      <c r="AC22" s="41"/>
      <c r="AD22" s="39"/>
    </row>
    <row r="23" spans="2:30" ht="21" customHeight="1" x14ac:dyDescent="0.25">
      <c r="B23" s="39"/>
      <c r="C23" s="41"/>
      <c r="D23" s="41"/>
      <c r="E23" s="41"/>
      <c r="F23" s="39"/>
      <c r="G23" s="39"/>
      <c r="H23" s="39"/>
      <c r="I23" s="39"/>
      <c r="J23" s="41"/>
      <c r="K23" s="39"/>
      <c r="L23" s="39"/>
      <c r="M23" s="39"/>
      <c r="N23" s="79"/>
      <c r="O23" s="79"/>
      <c r="P23" s="79"/>
      <c r="Q23" s="39"/>
      <c r="R23" s="36" t="s">
        <v>43</v>
      </c>
      <c r="S23" s="62">
        <v>72</v>
      </c>
      <c r="T23" s="41" t="s">
        <v>97</v>
      </c>
      <c r="U23" s="4"/>
      <c r="V23" s="129">
        <f>S23-U23</f>
        <v>72</v>
      </c>
      <c r="X23" s="41"/>
      <c r="Y23" s="41"/>
      <c r="Z23" s="39"/>
      <c r="AA23" s="39"/>
      <c r="AB23" s="41"/>
      <c r="AC23" s="41"/>
      <c r="AD23" s="39"/>
    </row>
    <row r="24" spans="2:30" ht="24.95" customHeight="1" x14ac:dyDescent="0.25">
      <c r="B24" s="39"/>
      <c r="C24" s="41"/>
      <c r="D24" s="41"/>
      <c r="E24" s="41"/>
      <c r="F24" s="39"/>
      <c r="G24" s="39"/>
      <c r="H24" s="39"/>
      <c r="I24" s="39"/>
      <c r="J24" s="41"/>
      <c r="K24" s="50"/>
      <c r="L24" s="50"/>
      <c r="M24" s="50"/>
      <c r="N24" s="50"/>
      <c r="O24" s="50"/>
      <c r="P24" s="50"/>
      <c r="Q24" s="39"/>
      <c r="R24" s="39"/>
      <c r="S24" s="4">
        <f>SUM(S21:S23)</f>
        <v>7424.4744000000001</v>
      </c>
      <c r="T24" s="41" t="s">
        <v>145</v>
      </c>
      <c r="U24" s="4">
        <f>SUM(U21:U23)</f>
        <v>633.5</v>
      </c>
      <c r="V24" s="4">
        <f>SUM(V21:V23)</f>
        <v>6790.9744000000001</v>
      </c>
      <c r="X24" s="41"/>
      <c r="Y24" s="41"/>
      <c r="Z24" s="39"/>
      <c r="AA24" s="39"/>
      <c r="AB24" s="41"/>
      <c r="AC24" s="41"/>
      <c r="AD24" s="39"/>
    </row>
    <row r="25" spans="2:30" ht="24.95" customHeight="1" x14ac:dyDescent="0.25">
      <c r="B25" s="39"/>
      <c r="C25" s="41"/>
      <c r="D25" s="41"/>
      <c r="E25" s="41"/>
      <c r="F25" s="39"/>
      <c r="G25" s="39"/>
      <c r="H25" s="39"/>
      <c r="I25" s="39"/>
      <c r="J25" s="41"/>
      <c r="K25" s="39"/>
      <c r="L25" s="39"/>
      <c r="M25" s="39"/>
      <c r="N25" s="39"/>
      <c r="O25" s="39"/>
      <c r="P25" s="39"/>
      <c r="Q25" s="39"/>
      <c r="S25" s="1"/>
      <c r="T25" s="1"/>
      <c r="U25" s="1"/>
      <c r="W25" s="41"/>
      <c r="X25" s="41"/>
      <c r="Y25" s="41"/>
      <c r="Z25" s="39"/>
      <c r="AA25" s="39"/>
      <c r="AB25" s="41"/>
      <c r="AC25" s="41"/>
      <c r="AD25" s="39"/>
    </row>
    <row r="26" spans="2:30" ht="24.95" customHeight="1" x14ac:dyDescent="0.25">
      <c r="B26" s="39"/>
      <c r="C26" s="41"/>
      <c r="D26" s="41"/>
      <c r="E26" s="41"/>
      <c r="F26" s="39"/>
      <c r="G26" s="39"/>
      <c r="H26" s="39"/>
      <c r="I26" s="39"/>
      <c r="J26" s="41"/>
      <c r="K26" s="39"/>
      <c r="L26" s="39"/>
      <c r="M26" s="39" t="s">
        <v>143</v>
      </c>
      <c r="N26" s="39"/>
      <c r="O26" s="61">
        <f>(S17+S24)*SUM(K4:K9)/K20-U24+'2024 reale'!U25</f>
        <v>5331.2867699999988</v>
      </c>
      <c r="P26" s="39"/>
      <c r="Q26" s="39"/>
      <c r="R26" s="38"/>
      <c r="S26" s="51">
        <f>(K20-S27)/K20</f>
        <v>0.23885515655633713</v>
      </c>
      <c r="T26" s="51"/>
      <c r="U26" s="171">
        <f>1-(G20-S17-S21-S23)/G20</f>
        <v>0.20851356749999994</v>
      </c>
      <c r="V26" s="83"/>
      <c r="W26" s="53"/>
      <c r="X26" s="41"/>
      <c r="Y26" s="41"/>
      <c r="Z26" s="39"/>
      <c r="AA26" s="39"/>
      <c r="AB26" s="41"/>
      <c r="AC26" s="41"/>
      <c r="AD26" s="39"/>
    </row>
    <row r="27" spans="2:30" ht="24.95" customHeight="1" x14ac:dyDescent="0.25">
      <c r="B27" s="39"/>
      <c r="C27" s="41"/>
      <c r="D27" s="41"/>
      <c r="E27" s="41"/>
      <c r="F27" s="39"/>
      <c r="G27" s="39"/>
      <c r="H27" s="39"/>
      <c r="I27" s="39"/>
      <c r="J27" s="41"/>
      <c r="K27" s="39"/>
      <c r="L27" s="39"/>
      <c r="M27" s="39"/>
      <c r="N27" s="39"/>
      <c r="O27" s="39"/>
      <c r="P27" s="39"/>
      <c r="Q27" s="79"/>
      <c r="R27" s="46" t="s">
        <v>56</v>
      </c>
      <c r="S27" s="47">
        <f>K20-S17-S24</f>
        <v>38015.348760000015</v>
      </c>
      <c r="T27" s="50"/>
      <c r="U27" s="62"/>
      <c r="V27" s="39"/>
      <c r="W27" s="53"/>
      <c r="X27" s="41"/>
      <c r="Y27" s="41"/>
      <c r="Z27" s="39"/>
      <c r="AA27" s="39"/>
      <c r="AB27" s="41"/>
      <c r="AC27" s="41"/>
      <c r="AD27" s="39"/>
    </row>
    <row r="28" spans="2:30" ht="24.95" customHeight="1" thickBot="1" x14ac:dyDescent="0.3">
      <c r="Q28" s="50"/>
      <c r="R28" s="39"/>
      <c r="S28" s="41"/>
      <c r="T28" s="41"/>
      <c r="U28" s="41"/>
      <c r="X28" s="41"/>
      <c r="Y28" s="41"/>
      <c r="Z28" s="39"/>
      <c r="AA28" s="39"/>
      <c r="AB28" s="41"/>
      <c r="AC28" s="41"/>
      <c r="AD28" s="39"/>
    </row>
    <row r="29" spans="2:30" ht="24.95" customHeight="1" thickBot="1" x14ac:dyDescent="0.3">
      <c r="Q29" s="39"/>
      <c r="R29" s="46" t="s">
        <v>57</v>
      </c>
      <c r="S29" s="47">
        <f>S27/12</f>
        <v>3167.9457300000013</v>
      </c>
      <c r="T29" s="50"/>
      <c r="U29" s="41"/>
      <c r="V29" s="166" t="s">
        <v>109</v>
      </c>
      <c r="W29" s="165">
        <f>V24+V18</f>
        <v>6790.9744000000001</v>
      </c>
      <c r="X29" s="82">
        <f ca="1">SUMIFS(K4:K15,D4:D15,"&lt;"&amp;TODAY())/K20*(S17+S24)-U24-U18</f>
        <v>11296.11124</v>
      </c>
      <c r="Y29" s="41"/>
      <c r="Z29" s="39"/>
      <c r="AA29" s="39"/>
      <c r="AB29" s="41"/>
      <c r="AC29" s="41"/>
      <c r="AD29" s="39"/>
    </row>
    <row r="30" spans="2:30" ht="24.95" customHeight="1" thickBot="1" x14ac:dyDescent="0.3">
      <c r="Q30" s="39"/>
      <c r="R30" s="46" t="s">
        <v>94</v>
      </c>
      <c r="S30" s="47">
        <f>S29/13*12</f>
        <v>2924.2575969230784</v>
      </c>
      <c r="T30" s="50"/>
      <c r="U30" s="41"/>
      <c r="V30" s="166" t="s">
        <v>108</v>
      </c>
      <c r="W30" s="165">
        <f>'2023 reale'!T31</f>
        <v>0</v>
      </c>
      <c r="X30" s="170">
        <f ca="1">W30+X29</f>
        <v>11296.11124</v>
      </c>
      <c r="Y30" s="41"/>
      <c r="Z30" s="39"/>
      <c r="AA30" s="39"/>
      <c r="AB30" s="41"/>
      <c r="AC30" s="41"/>
      <c r="AD30" s="39"/>
    </row>
    <row r="31" spans="2:30" ht="24.95" customHeight="1" x14ac:dyDescent="0.25">
      <c r="Q31" s="39"/>
      <c r="R31" s="39"/>
      <c r="S31" s="39"/>
      <c r="T31" s="39"/>
      <c r="U31" s="1"/>
      <c r="W31" s="41"/>
      <c r="X31" s="41"/>
      <c r="Y31" s="41"/>
      <c r="Z31" s="39"/>
      <c r="AA31" s="39"/>
      <c r="AB31" s="41"/>
      <c r="AC31" s="41"/>
      <c r="AD31" s="39"/>
    </row>
    <row r="32" spans="2:30" ht="24.95" customHeight="1" x14ac:dyDescent="0.25">
      <c r="R32" s="39" t="s">
        <v>110</v>
      </c>
      <c r="S32" s="176">
        <f>S33*0.78*0+26639</f>
        <v>26639</v>
      </c>
      <c r="T32" s="39" t="s">
        <v>117</v>
      </c>
      <c r="U32" s="39"/>
      <c r="V32" s="39"/>
    </row>
    <row r="33" spans="18:22" ht="24.95" customHeight="1" x14ac:dyDescent="0.25">
      <c r="R33" s="39" t="s">
        <v>111</v>
      </c>
      <c r="S33" s="176">
        <f>(SUM(G4:G24)+SUM(J4:J24))*0+34152</f>
        <v>34152</v>
      </c>
      <c r="T33" s="39" t="s">
        <v>116</v>
      </c>
      <c r="U33" s="39"/>
    </row>
    <row r="34" spans="18:22" ht="24.95" customHeight="1" x14ac:dyDescent="0.25">
      <c r="R34" s="39" t="s">
        <v>112</v>
      </c>
      <c r="S34" s="173">
        <f>SUMIFS(G4:G19,L4:L19,T34)+SUMIFS(J4:J19,L4:L19,T34)</f>
        <v>48024</v>
      </c>
      <c r="T34" s="39" t="str">
        <f>""</f>
        <v/>
      </c>
      <c r="U34" s="39"/>
    </row>
    <row r="35" spans="18:22" ht="24.95" customHeight="1" x14ac:dyDescent="0.25">
      <c r="R35" s="39" t="s">
        <v>113</v>
      </c>
      <c r="S35" s="173">
        <f>SUMIFS(G4:G19,L4:L19,T35)+SUMIFS(J4:J19,L4:L19,T35)</f>
        <v>0</v>
      </c>
      <c r="T35" s="39" t="s">
        <v>22</v>
      </c>
      <c r="U35" s="177" t="s">
        <v>118</v>
      </c>
      <c r="V35" s="179"/>
    </row>
    <row r="36" spans="18:22" ht="24.95" customHeight="1" x14ac:dyDescent="0.25">
      <c r="R36" s="39" t="s">
        <v>114</v>
      </c>
      <c r="S36" s="174">
        <f>S34</f>
        <v>48024</v>
      </c>
      <c r="T36" s="39"/>
      <c r="U36" s="178">
        <f>S33-S34-S35</f>
        <v>-13872</v>
      </c>
      <c r="V36" s="52" t="s">
        <v>119</v>
      </c>
    </row>
    <row r="37" spans="18:22" ht="24.95" customHeight="1" x14ac:dyDescent="0.25">
      <c r="R37" s="39" t="s">
        <v>115</v>
      </c>
      <c r="S37" s="175">
        <f>I21</f>
        <v>0</v>
      </c>
      <c r="T37" s="1"/>
      <c r="U37" s="1"/>
    </row>
  </sheetData>
  <mergeCells count="2">
    <mergeCell ref="C1:K1"/>
    <mergeCell ref="C2:K2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DB24-254A-4F71-B076-079E3D8F898A}">
  <sheetPr codeName="Sheet2"/>
  <dimension ref="B1:AB41"/>
  <sheetViews>
    <sheetView showGridLines="0" topLeftCell="A26" zoomScale="85" zoomScaleNormal="85" workbookViewId="0">
      <selection activeCell="Y39" sqref="Y38:Y39"/>
    </sheetView>
  </sheetViews>
  <sheetFormatPr defaultColWidth="9.140625" defaultRowHeight="24.95" customHeight="1" x14ac:dyDescent="0.25"/>
  <cols>
    <col min="1" max="1" width="3.42578125" style="1" customWidth="1"/>
    <col min="2" max="2" width="9.140625" style="1" customWidth="1"/>
    <col min="3" max="3" width="8.140625" style="2" customWidth="1"/>
    <col min="4" max="4" width="12.85546875" style="2" customWidth="1"/>
    <col min="5" max="5" width="12.28515625" style="2" customWidth="1"/>
    <col min="6" max="6" width="61.7109375" style="2" hidden="1" customWidth="1"/>
    <col min="7" max="7" width="11.28515625" style="1" customWidth="1"/>
    <col min="8" max="8" width="20.7109375" style="1" customWidth="1"/>
    <col min="9" max="9" width="14.28515625" style="1" customWidth="1"/>
    <col min="10" max="10" width="12.28515625" style="1" customWidth="1"/>
    <col min="11" max="11" width="10.7109375" style="1" customWidth="1"/>
    <col min="12" max="12" width="11.28515625" style="2" customWidth="1"/>
    <col min="13" max="13" width="10.140625" style="1" customWidth="1"/>
    <col min="14" max="15" width="9" style="1" customWidth="1"/>
    <col min="16" max="16" width="24.28515625" style="1" bestFit="1" customWidth="1"/>
    <col min="17" max="17" width="11.28515625" style="2" customWidth="1"/>
    <col min="18" max="19" width="9" style="2" customWidth="1"/>
    <col min="20" max="20" width="9" style="1" customWidth="1"/>
    <col min="21" max="21" width="9" style="2" customWidth="1"/>
    <col min="22" max="22" width="13" style="2" customWidth="1"/>
    <col min="23" max="23" width="17.140625" style="2" customWidth="1"/>
    <col min="24" max="24" width="9.42578125" style="1" customWidth="1"/>
    <col min="25" max="25" width="13.7109375" style="1" customWidth="1"/>
    <col min="26" max="26" width="12.85546875" style="2" customWidth="1"/>
    <col min="27" max="27" width="11.42578125" style="2" customWidth="1"/>
    <col min="28" max="16384" width="9.140625" style="1"/>
  </cols>
  <sheetData>
    <row r="1" spans="2:28" ht="28.5" customHeight="1" x14ac:dyDescent="0.25">
      <c r="B1" s="39"/>
      <c r="C1" s="229" t="s">
        <v>0</v>
      </c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86"/>
      <c r="O1" s="39"/>
      <c r="P1" s="39"/>
      <c r="Q1" s="41"/>
      <c r="R1" s="41"/>
      <c r="S1" s="41"/>
      <c r="T1" s="39"/>
      <c r="U1" s="41"/>
      <c r="V1" s="41"/>
      <c r="W1" s="41"/>
      <c r="X1" s="39"/>
      <c r="Y1" s="39"/>
      <c r="Z1" s="41"/>
      <c r="AA1" s="41"/>
      <c r="AB1" s="39"/>
    </row>
    <row r="2" spans="2:28" ht="13.5" customHeight="1" x14ac:dyDescent="0.25">
      <c r="B2" s="39"/>
      <c r="C2" s="230" t="s">
        <v>93</v>
      </c>
      <c r="D2" s="230"/>
      <c r="E2" s="230"/>
      <c r="F2" s="230"/>
      <c r="G2" s="230"/>
      <c r="H2" s="230"/>
      <c r="I2" s="230"/>
      <c r="J2" s="230" t="s">
        <v>2</v>
      </c>
      <c r="K2" s="230"/>
      <c r="L2" s="230"/>
      <c r="M2" s="230"/>
      <c r="N2" s="18"/>
      <c r="O2" s="39"/>
      <c r="P2" s="39"/>
      <c r="Q2" s="41"/>
      <c r="R2" s="41"/>
      <c r="S2" s="41"/>
      <c r="T2" s="39"/>
      <c r="U2" s="41"/>
      <c r="V2" s="41"/>
      <c r="W2" s="41"/>
      <c r="X2" s="39"/>
      <c r="Y2" s="39"/>
      <c r="Z2" s="41"/>
      <c r="AA2" s="41"/>
      <c r="AB2" s="39"/>
    </row>
    <row r="3" spans="2:28" ht="24.95" customHeight="1" x14ac:dyDescent="0.25">
      <c r="B3" s="39"/>
      <c r="C3" s="41"/>
      <c r="D3" s="41"/>
      <c r="E3" s="13"/>
      <c r="F3" s="13"/>
      <c r="G3" s="39"/>
      <c r="H3" s="54"/>
      <c r="I3" s="39"/>
      <c r="J3" s="39"/>
      <c r="K3" s="39"/>
      <c r="L3" s="41"/>
      <c r="M3" s="39"/>
      <c r="N3" s="39"/>
      <c r="O3" s="39"/>
      <c r="P3" s="39"/>
      <c r="Q3" s="41"/>
      <c r="R3" s="41"/>
      <c r="S3" s="41"/>
      <c r="T3" s="39"/>
      <c r="U3" s="41"/>
      <c r="V3" s="41"/>
      <c r="W3" s="41"/>
      <c r="X3" s="39"/>
      <c r="Y3" s="39"/>
      <c r="Z3" s="41"/>
      <c r="AA3" s="41"/>
      <c r="AB3" s="39"/>
    </row>
    <row r="4" spans="2:28" ht="47.45" customHeight="1" x14ac:dyDescent="0.2">
      <c r="B4" s="5" t="s">
        <v>88</v>
      </c>
      <c r="C4" s="244" t="s">
        <v>87</v>
      </c>
      <c r="D4" s="245"/>
      <c r="E4" s="14" t="s">
        <v>86</v>
      </c>
      <c r="F4" s="14"/>
      <c r="G4" s="5" t="s">
        <v>6</v>
      </c>
      <c r="H4" s="7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9" t="s">
        <v>16</v>
      </c>
      <c r="N4" s="10" t="s">
        <v>17</v>
      </c>
      <c r="O4" s="39"/>
      <c r="P4" s="39"/>
      <c r="Q4" s="39"/>
      <c r="R4" s="39"/>
      <c r="S4" s="41"/>
      <c r="T4" s="39"/>
      <c r="U4" s="41"/>
      <c r="V4" s="37"/>
      <c r="W4" s="37"/>
      <c r="X4" s="18"/>
      <c r="Y4" s="39"/>
      <c r="Z4" s="41"/>
      <c r="AA4" s="41"/>
      <c r="AB4" s="39"/>
    </row>
    <row r="5" spans="2:28" ht="21" customHeight="1" x14ac:dyDescent="0.25">
      <c r="B5" s="156">
        <v>13</v>
      </c>
      <c r="C5" s="130"/>
      <c r="D5" s="133">
        <v>45657</v>
      </c>
      <c r="E5" s="131" t="s">
        <v>83</v>
      </c>
      <c r="F5" s="132"/>
      <c r="G5" s="133"/>
      <c r="H5" s="134" t="s">
        <v>27</v>
      </c>
      <c r="I5" s="135">
        <v>4500</v>
      </c>
      <c r="J5" s="136">
        <v>0</v>
      </c>
      <c r="K5" s="136">
        <f t="shared" ref="K5:K8" si="0">IF(N5="x",0,0.04*(L5+I5))</f>
        <v>180.08</v>
      </c>
      <c r="L5" s="136">
        <v>2</v>
      </c>
      <c r="M5" s="137">
        <f t="shared" ref="M5:M16" si="1">I5+K5+L5</f>
        <v>4682.08</v>
      </c>
      <c r="N5" s="62"/>
      <c r="O5" s="61">
        <f>M5*(1-Q27)</f>
        <v>3564.3782300000007</v>
      </c>
      <c r="P5" s="61">
        <f>O5-M5</f>
        <v>-1117.7017699999992</v>
      </c>
      <c r="Q5" s="41"/>
      <c r="R5" s="41"/>
      <c r="S5" s="41"/>
      <c r="T5" s="39"/>
      <c r="U5" s="59"/>
      <c r="V5" s="53"/>
      <c r="W5" s="41"/>
      <c r="X5" s="80"/>
      <c r="Y5" s="81"/>
      <c r="Z5" s="53"/>
      <c r="AA5" s="53"/>
      <c r="AB5" s="39"/>
    </row>
    <row r="6" spans="2:28" ht="21" customHeight="1" x14ac:dyDescent="0.25">
      <c r="B6" s="157">
        <v>1</v>
      </c>
      <c r="C6" s="31"/>
      <c r="D6" s="26">
        <v>45322</v>
      </c>
      <c r="E6" s="32" t="s">
        <v>72</v>
      </c>
      <c r="F6" s="55" t="e">
        <f>IF(#REF!="CASA",CONCATENATE("C:\Users\studi\Google Drive\CONTABILITA'\",D6,"\",E6," Trimestre\Fatture\",C6,".pdf"),CONCATENATE("C:\Users\Sebastiano\Google Drive\CONTABILITA'\",D6,"\",E6," Trimestre\Fatture\",C6,".pdf"))</f>
        <v>#REF!</v>
      </c>
      <c r="G6" s="26"/>
      <c r="H6" s="48" t="s">
        <v>27</v>
      </c>
      <c r="I6" s="24">
        <v>4500</v>
      </c>
      <c r="J6" s="57">
        <v>0</v>
      </c>
      <c r="K6" s="57">
        <f t="shared" si="0"/>
        <v>180.08</v>
      </c>
      <c r="L6" s="57">
        <v>2</v>
      </c>
      <c r="M6" s="58">
        <f t="shared" si="1"/>
        <v>4682.08</v>
      </c>
      <c r="N6" s="62"/>
      <c r="O6" s="39"/>
      <c r="P6" s="39"/>
      <c r="Q6" s="59"/>
      <c r="R6" s="59"/>
      <c r="S6" s="59"/>
      <c r="T6" s="41"/>
      <c r="U6" s="80"/>
      <c r="V6" s="81"/>
      <c r="W6" s="53"/>
      <c r="X6" s="53"/>
      <c r="Y6" s="39"/>
      <c r="Z6" s="1"/>
      <c r="AA6" s="1"/>
    </row>
    <row r="7" spans="2:28" ht="21" customHeight="1" x14ac:dyDescent="0.25">
      <c r="B7" s="157">
        <v>2</v>
      </c>
      <c r="C7" s="31"/>
      <c r="D7" s="26">
        <v>45351</v>
      </c>
      <c r="E7" s="32" t="s">
        <v>73</v>
      </c>
      <c r="F7" s="55" t="e">
        <f>IF(#REF!="CASA",CONCATENATE("C:\Users\studi\Google Drive\CONTABILITA'\2019\",E7," Trimestre\Fatture\",C7,".pdf"),CONCATENATE("C:\Users\Sebastiano\Google Drive\CONTABILITA'\2019\",E7," Trimestre\Fatture\",C7,".pdf"))</f>
        <v>#REF!</v>
      </c>
      <c r="G7" s="26"/>
      <c r="H7" s="48" t="s">
        <v>27</v>
      </c>
      <c r="I7" s="24">
        <v>4500</v>
      </c>
      <c r="J7" s="57">
        <v>0</v>
      </c>
      <c r="K7" s="57">
        <f>IF(N7="x",0,0.04*(L7+I7))</f>
        <v>180.08</v>
      </c>
      <c r="L7" s="57">
        <v>2</v>
      </c>
      <c r="M7" s="58">
        <f>I7+K7+L7</f>
        <v>4682.08</v>
      </c>
      <c r="N7" s="62"/>
      <c r="O7" s="39"/>
      <c r="P7" s="39"/>
      <c r="Q7" s="59"/>
      <c r="R7" s="59"/>
      <c r="S7" s="169"/>
      <c r="T7" s="41"/>
      <c r="U7" s="80"/>
      <c r="V7" s="81"/>
      <c r="W7" s="53"/>
      <c r="X7" s="53"/>
      <c r="Y7" s="39"/>
      <c r="Z7" s="1"/>
      <c r="AA7" s="1"/>
    </row>
    <row r="8" spans="2:28" ht="21" customHeight="1" x14ac:dyDescent="0.25">
      <c r="B8" s="157">
        <v>3</v>
      </c>
      <c r="C8" s="31"/>
      <c r="D8" s="26">
        <v>45382</v>
      </c>
      <c r="E8" s="32" t="s">
        <v>74</v>
      </c>
      <c r="F8" s="55" t="e">
        <f>IF(#REF!="CASA",CONCATENATE("C:\Users\studi\Google Drive\CONTABILITA'\2020\",E8," Trimestre\Fatture\",C8,".pdf"),CONCATENATE("C:\Users\Sebastiano\Google Drive\CONTABILITA'\2020\",E8," Trimestre\Fatture\",C8,".pdf"))</f>
        <v>#REF!</v>
      </c>
      <c r="G8" s="26"/>
      <c r="H8" s="48" t="s">
        <v>27</v>
      </c>
      <c r="I8" s="24">
        <v>4500</v>
      </c>
      <c r="J8" s="57">
        <v>0</v>
      </c>
      <c r="K8" s="57">
        <f t="shared" si="0"/>
        <v>180.08</v>
      </c>
      <c r="L8" s="57">
        <v>2</v>
      </c>
      <c r="M8" s="58">
        <f t="shared" si="1"/>
        <v>4682.08</v>
      </c>
      <c r="N8" s="62"/>
      <c r="O8" s="39"/>
      <c r="P8" s="39"/>
      <c r="Q8" s="59"/>
      <c r="R8" s="59"/>
      <c r="S8" s="59"/>
      <c r="T8" s="41"/>
      <c r="U8" s="80"/>
      <c r="V8" s="39"/>
      <c r="W8" s="82"/>
      <c r="X8" s="53"/>
      <c r="Y8" s="39"/>
      <c r="Z8" s="1"/>
      <c r="AA8" s="1"/>
    </row>
    <row r="9" spans="2:28" ht="21" customHeight="1" x14ac:dyDescent="0.25">
      <c r="B9" s="157">
        <v>4</v>
      </c>
      <c r="C9" s="31"/>
      <c r="D9" s="26">
        <v>45412</v>
      </c>
      <c r="E9" s="32" t="s">
        <v>75</v>
      </c>
      <c r="F9" s="55"/>
      <c r="G9" s="26"/>
      <c r="H9" s="48" t="s">
        <v>27</v>
      </c>
      <c r="I9" s="24">
        <v>4500</v>
      </c>
      <c r="J9" s="57">
        <v>0</v>
      </c>
      <c r="K9" s="57">
        <f>IF(N9="x",0,0.04*(L9+I9))</f>
        <v>180.08</v>
      </c>
      <c r="L9" s="57">
        <v>2</v>
      </c>
      <c r="M9" s="58">
        <f t="shared" si="1"/>
        <v>4682.08</v>
      </c>
      <c r="N9" s="62"/>
      <c r="O9" s="39"/>
      <c r="P9" s="39"/>
      <c r="Q9" s="59"/>
      <c r="R9" s="59"/>
      <c r="S9" s="59"/>
      <c r="T9" s="41"/>
      <c r="U9" s="80"/>
      <c r="V9" s="39"/>
      <c r="W9" s="82"/>
      <c r="X9" s="53"/>
      <c r="Y9" s="39"/>
      <c r="Z9" s="1"/>
      <c r="AA9" s="1"/>
    </row>
    <row r="10" spans="2:28" ht="21" customHeight="1" x14ac:dyDescent="0.25">
      <c r="B10" s="157">
        <v>5</v>
      </c>
      <c r="C10" s="33"/>
      <c r="D10" s="26">
        <v>45443</v>
      </c>
      <c r="E10" s="32" t="s">
        <v>76</v>
      </c>
      <c r="F10" s="55" t="e">
        <f>IF(#REF!="CASA",CONCATENATE("C:\Users\studi\Google Drive\CONTABILITA'\2020\Fatture\",E10," Trimestre\",C10,".pdf"),CONCATENATE("C:\Users\Sebastiano\Google Drive\CONTABILITA'\2020\Fatture\",E10," Trimestre\",C10,".pdf"))</f>
        <v>#REF!</v>
      </c>
      <c r="G10" s="26"/>
      <c r="H10" s="48" t="s">
        <v>27</v>
      </c>
      <c r="I10" s="24">
        <v>4500</v>
      </c>
      <c r="J10" s="57">
        <v>0</v>
      </c>
      <c r="K10" s="57">
        <f t="shared" ref="K10:K16" si="2">IF(N10="x",0,0.04*(L10+I10))</f>
        <v>180.08</v>
      </c>
      <c r="L10" s="57">
        <v>2</v>
      </c>
      <c r="M10" s="58">
        <f t="shared" si="1"/>
        <v>4682.08</v>
      </c>
      <c r="N10" s="62"/>
      <c r="O10" s="39"/>
      <c r="P10" s="39"/>
      <c r="Q10" s="59"/>
      <c r="R10" s="59"/>
      <c r="S10" s="161">
        <f>55+1.3+2.9+0.35+2+0.7+5-2.15</f>
        <v>65.099999999999994</v>
      </c>
      <c r="T10" s="41"/>
      <c r="U10" s="80"/>
      <c r="V10" s="39"/>
      <c r="W10" s="82"/>
      <c r="X10" s="53"/>
      <c r="Y10" s="39"/>
      <c r="Z10" s="1"/>
      <c r="AA10" s="1"/>
    </row>
    <row r="11" spans="2:28" ht="21" customHeight="1" x14ac:dyDescent="0.25">
      <c r="B11" s="157">
        <v>6</v>
      </c>
      <c r="C11" s="33"/>
      <c r="D11" s="26">
        <v>45473</v>
      </c>
      <c r="E11" s="32" t="s">
        <v>77</v>
      </c>
      <c r="F11" s="55" t="e">
        <f>IF(#REF!="CASA",CONCATENATE("C:\Users\studi\Google Drive\CONTABILITA'\2020\Fatture\",E11," Trimestre\",C11,".pdf"),CONCATENATE("C:\Users\Sebastiano\Google Drive\CONTABILITA'\2020\Fatture\",E11," Trimestre\",C11,".pdf"))</f>
        <v>#REF!</v>
      </c>
      <c r="G11" s="26"/>
      <c r="H11" s="48" t="s">
        <v>27</v>
      </c>
      <c r="I11" s="24">
        <v>4500</v>
      </c>
      <c r="J11" s="57">
        <v>0</v>
      </c>
      <c r="K11" s="57">
        <f t="shared" si="2"/>
        <v>180.08</v>
      </c>
      <c r="L11" s="57">
        <v>2</v>
      </c>
      <c r="M11" s="58">
        <f t="shared" si="1"/>
        <v>4682.08</v>
      </c>
      <c r="N11" s="62"/>
      <c r="O11" s="39"/>
      <c r="P11" s="39"/>
      <c r="Q11" s="59"/>
      <c r="R11" s="59"/>
      <c r="S11" s="59"/>
      <c r="T11" s="41"/>
      <c r="U11" s="80"/>
      <c r="V11" s="39"/>
      <c r="W11" s="82"/>
      <c r="X11" s="53"/>
      <c r="Y11" s="39"/>
      <c r="Z11" s="1"/>
      <c r="AA11" s="1"/>
    </row>
    <row r="12" spans="2:28" ht="21" customHeight="1" x14ac:dyDescent="0.25">
      <c r="B12" s="157">
        <v>7</v>
      </c>
      <c r="C12" s="33"/>
      <c r="D12" s="26">
        <v>45504</v>
      </c>
      <c r="E12" s="32" t="s">
        <v>78</v>
      </c>
      <c r="F12" s="55" t="e">
        <f>IF(#REF!="CASA",CONCATENATE("C:\Users\studi\Google Drive\CONTABILITA'\2020\Fatture\",E12," Trimestre\",C12,".pdf"),CONCATENATE("C:\Users\Sebastiano\Google Drive\CONTABILITA'\2020\Fatture\",E12," Trimestre\",C12,".pdf"))</f>
        <v>#REF!</v>
      </c>
      <c r="G12" s="26"/>
      <c r="H12" s="48" t="s">
        <v>27</v>
      </c>
      <c r="I12" s="24">
        <v>4500</v>
      </c>
      <c r="J12" s="57">
        <v>0</v>
      </c>
      <c r="K12" s="57">
        <f t="shared" si="2"/>
        <v>180.08</v>
      </c>
      <c r="L12" s="57">
        <v>2</v>
      </c>
      <c r="M12" s="58">
        <f t="shared" si="1"/>
        <v>4682.08</v>
      </c>
      <c r="N12" s="62"/>
      <c r="O12" s="61">
        <f>M12-M11</f>
        <v>0</v>
      </c>
      <c r="P12" s="39"/>
      <c r="Q12" s="3" t="s">
        <v>31</v>
      </c>
      <c r="R12" s="3"/>
      <c r="S12" s="18">
        <v>0.78</v>
      </c>
      <c r="T12" s="39"/>
      <c r="U12" s="59"/>
      <c r="V12" s="59"/>
      <c r="W12" s="41"/>
      <c r="X12" s="80"/>
      <c r="Y12" s="39"/>
      <c r="Z12" s="82"/>
      <c r="AA12" s="53"/>
      <c r="AB12" s="39"/>
    </row>
    <row r="13" spans="2:28" ht="21" customHeight="1" x14ac:dyDescent="0.25">
      <c r="B13" s="157">
        <v>8</v>
      </c>
      <c r="C13" s="33"/>
      <c r="D13" s="26">
        <v>45535</v>
      </c>
      <c r="E13" s="32" t="s">
        <v>79</v>
      </c>
      <c r="F13" s="55" t="e">
        <f>IF(#REF!="CASA",CONCATENATE("C:\Users\studi\Google Drive\CONTABILITA'\2020\Fatture\",E13," Trimestre\",C13,".pdf"),CONCATENATE("C:\Users\Sebastiano\Google Drive\CONTABILITA'\2020\Fatture\",E13," Trimestre\",C13,".pdf"))</f>
        <v>#REF!</v>
      </c>
      <c r="G13" s="26"/>
      <c r="H13" s="48" t="s">
        <v>27</v>
      </c>
      <c r="I13" s="24">
        <v>4500</v>
      </c>
      <c r="J13" s="57">
        <v>0</v>
      </c>
      <c r="K13" s="57">
        <f t="shared" si="2"/>
        <v>180.08</v>
      </c>
      <c r="L13" s="57">
        <v>2</v>
      </c>
      <c r="M13" s="58">
        <f t="shared" si="1"/>
        <v>4682.08</v>
      </c>
      <c r="N13" s="62"/>
      <c r="O13" s="39"/>
      <c r="P13" s="39"/>
      <c r="Q13" s="41"/>
      <c r="R13" s="41"/>
      <c r="S13" s="18"/>
      <c r="T13" s="17"/>
      <c r="U13" s="59"/>
      <c r="V13" s="59"/>
      <c r="W13" s="41"/>
      <c r="X13" s="80"/>
      <c r="Y13" s="39"/>
      <c r="Z13" s="82"/>
      <c r="AA13" s="53"/>
      <c r="AB13" s="39"/>
    </row>
    <row r="14" spans="2:28" ht="21" customHeight="1" x14ac:dyDescent="0.25">
      <c r="B14" s="157">
        <v>9</v>
      </c>
      <c r="C14" s="33"/>
      <c r="D14" s="26">
        <v>45565</v>
      </c>
      <c r="E14" s="32" t="s">
        <v>80</v>
      </c>
      <c r="F14" s="55" t="e">
        <f>IF(#REF!="CASA",CONCATENATE("C:\Users\studi\Google Drive\CONTABILITA'\2020\Fatture\",E14," Trimestre\",C14,".pdf"),CONCATENATE("C:\Users\Sebastiano\Google Drive\CONTABILITA'\2020\Fatture\",E14," Trimestre\",C14,".pdf"))</f>
        <v>#REF!</v>
      </c>
      <c r="G14" s="26"/>
      <c r="H14" s="48" t="s">
        <v>27</v>
      </c>
      <c r="I14" s="24">
        <v>4500</v>
      </c>
      <c r="J14" s="57">
        <v>0</v>
      </c>
      <c r="K14" s="57">
        <f t="shared" si="2"/>
        <v>180.08</v>
      </c>
      <c r="L14" s="57">
        <v>2</v>
      </c>
      <c r="M14" s="58">
        <f t="shared" si="1"/>
        <v>4682.08</v>
      </c>
      <c r="N14" s="62"/>
      <c r="O14" s="39"/>
      <c r="P14" s="39"/>
      <c r="Q14" s="17" t="s">
        <v>32</v>
      </c>
      <c r="R14" s="17"/>
      <c r="S14" s="62"/>
      <c r="T14" s="39"/>
      <c r="U14" s="82"/>
      <c r="V14" s="53"/>
      <c r="W14" s="39"/>
      <c r="Z14" s="1"/>
      <c r="AA14" s="1"/>
    </row>
    <row r="15" spans="2:28" ht="21" customHeight="1" x14ac:dyDescent="0.25">
      <c r="B15" s="157">
        <v>10</v>
      </c>
      <c r="C15" s="33"/>
      <c r="D15" s="26">
        <v>45596</v>
      </c>
      <c r="E15" s="32" t="s">
        <v>81</v>
      </c>
      <c r="F15" s="55" t="e">
        <f>IF(#REF!="CASA",CONCATENATE("C:\Users\studi\Google Drive\CONTABILITA'\2020\Fatture\",E15," Trimestre\",C15,".pdf"),CONCATENATE("C:\Users\Sebastiano\Google Drive\CONTABILITA'\2020\Fatture\",E15," Trimestre\",C15,".pdf"))</f>
        <v>#REF!</v>
      </c>
      <c r="G15" s="26"/>
      <c r="H15" s="48" t="s">
        <v>27</v>
      </c>
      <c r="I15" s="24">
        <v>4500</v>
      </c>
      <c r="J15" s="57">
        <v>0</v>
      </c>
      <c r="K15" s="57">
        <f>IF(N15="x",0,0.04*(L15+I15))</f>
        <v>180.08</v>
      </c>
      <c r="L15" s="57">
        <v>2</v>
      </c>
      <c r="M15" s="58">
        <f t="shared" si="1"/>
        <v>4682.08</v>
      </c>
      <c r="N15" s="62"/>
      <c r="O15" s="39"/>
      <c r="P15" s="36" t="s">
        <v>33</v>
      </c>
      <c r="Q15" s="62">
        <f>I26</f>
        <v>54000</v>
      </c>
      <c r="R15" s="62"/>
      <c r="S15" s="62"/>
      <c r="T15" s="39"/>
      <c r="U15" s="82"/>
      <c r="V15" s="53"/>
      <c r="W15" s="39"/>
      <c r="Z15" s="1"/>
      <c r="AA15" s="1"/>
    </row>
    <row r="16" spans="2:28" ht="21" customHeight="1" x14ac:dyDescent="0.25">
      <c r="B16" s="157">
        <v>11</v>
      </c>
      <c r="C16" s="33"/>
      <c r="D16" s="26">
        <v>45626</v>
      </c>
      <c r="E16" s="32" t="s">
        <v>82</v>
      </c>
      <c r="F16" s="55" t="e">
        <f>IF(#REF!="CASA",CONCATENATE("C:\Users\studi\Google Drive\CONTABILITA'\2020\Fatture\",E16," Trimestre\",C16,".pdf"),CONCATENATE("C:\Users\Sebastiano\Google Drive\CONTABILITA'\2020\Fatture\",E16," Trimestre\",C16,".pdf"))</f>
        <v>#REF!</v>
      </c>
      <c r="G16" s="26"/>
      <c r="H16" s="48" t="s">
        <v>27</v>
      </c>
      <c r="I16" s="24">
        <v>4500</v>
      </c>
      <c r="J16" s="57">
        <v>0</v>
      </c>
      <c r="K16" s="57">
        <f t="shared" si="2"/>
        <v>180.08</v>
      </c>
      <c r="L16" s="57">
        <v>2</v>
      </c>
      <c r="M16" s="58">
        <f t="shared" si="1"/>
        <v>4682.08</v>
      </c>
      <c r="N16" s="62"/>
      <c r="O16" s="39"/>
      <c r="P16" s="39" t="s">
        <v>35</v>
      </c>
      <c r="Q16" s="62">
        <f>Q15+SUM(L5:L24)</f>
        <v>54024</v>
      </c>
      <c r="R16" s="62"/>
      <c r="S16" s="62"/>
      <c r="T16" s="39"/>
      <c r="U16" s="41"/>
      <c r="V16" s="53"/>
      <c r="W16" s="39"/>
      <c r="Z16" s="1"/>
      <c r="AA16" s="1"/>
    </row>
    <row r="17" spans="2:27" ht="21" customHeight="1" x14ac:dyDescent="0.25">
      <c r="B17" s="157"/>
      <c r="C17" s="33"/>
      <c r="D17" s="26"/>
      <c r="E17" s="32"/>
      <c r="F17" s="55"/>
      <c r="G17" s="26"/>
      <c r="H17" s="48"/>
      <c r="I17" s="24"/>
      <c r="J17" s="57"/>
      <c r="K17" s="57"/>
      <c r="L17" s="57"/>
      <c r="M17" s="58"/>
      <c r="N17" s="62"/>
      <c r="O17" s="39"/>
      <c r="P17" s="36" t="s">
        <v>37</v>
      </c>
      <c r="Q17" s="62"/>
      <c r="R17" s="62"/>
      <c r="S17" s="62"/>
      <c r="T17" s="39"/>
      <c r="U17" s="41"/>
      <c r="V17" s="41"/>
      <c r="W17" s="39"/>
      <c r="Z17" s="1"/>
      <c r="AA17" s="1"/>
    </row>
    <row r="18" spans="2:27" ht="21" customHeight="1" x14ac:dyDescent="0.25">
      <c r="B18" s="157"/>
      <c r="C18" s="33"/>
      <c r="D18" s="26"/>
      <c r="E18" s="32"/>
      <c r="F18" s="55"/>
      <c r="G18" s="26"/>
      <c r="H18" s="48"/>
      <c r="I18" s="24"/>
      <c r="J18" s="57"/>
      <c r="K18" s="57"/>
      <c r="L18" s="57"/>
      <c r="M18" s="58"/>
      <c r="N18" s="62"/>
      <c r="O18" s="39"/>
      <c r="P18" s="36" t="s">
        <v>38</v>
      </c>
      <c r="Q18" s="62">
        <f>0.78*Q16</f>
        <v>42138.720000000001</v>
      </c>
      <c r="R18" s="62"/>
      <c r="S18" s="164"/>
      <c r="T18" s="39"/>
      <c r="U18" s="41"/>
      <c r="V18" s="41"/>
      <c r="W18" s="39"/>
      <c r="Z18" s="1"/>
      <c r="AA18" s="1"/>
    </row>
    <row r="19" spans="2:27" ht="21" customHeight="1" x14ac:dyDescent="0.25">
      <c r="B19" s="157"/>
      <c r="C19" s="33"/>
      <c r="D19" s="26"/>
      <c r="E19" s="32"/>
      <c r="F19" s="55"/>
      <c r="G19" s="26"/>
      <c r="H19" s="48"/>
      <c r="I19" s="24"/>
      <c r="J19" s="57"/>
      <c r="K19" s="57"/>
      <c r="L19" s="57"/>
      <c r="M19" s="58"/>
      <c r="N19" s="62"/>
      <c r="O19" s="39"/>
      <c r="P19" s="36" t="s">
        <v>39</v>
      </c>
      <c r="Q19" s="4">
        <f>0.15*(Q18-Q25)</f>
        <v>5069.3468400000002</v>
      </c>
      <c r="R19" s="18"/>
      <c r="S19" s="41"/>
      <c r="T19" s="39"/>
      <c r="U19" s="41"/>
      <c r="V19" s="41"/>
      <c r="W19" s="39"/>
      <c r="Z19" s="1"/>
      <c r="AA19" s="1"/>
    </row>
    <row r="20" spans="2:27" ht="21" customHeight="1" x14ac:dyDescent="0.25">
      <c r="B20" s="157"/>
      <c r="C20" s="33"/>
      <c r="D20" s="26"/>
      <c r="E20" s="32"/>
      <c r="F20" s="55"/>
      <c r="G20" s="26"/>
      <c r="H20" s="48"/>
      <c r="I20" s="24"/>
      <c r="J20" s="57"/>
      <c r="K20" s="57"/>
      <c r="L20" s="57"/>
      <c r="M20" s="58"/>
      <c r="N20" s="62"/>
      <c r="O20" s="39"/>
      <c r="P20" s="65"/>
      <c r="Q20" s="18"/>
      <c r="S20" s="63"/>
      <c r="T20" s="39"/>
      <c r="U20" s="41"/>
      <c r="V20" s="41"/>
      <c r="W20" s="39"/>
      <c r="Z20" s="1"/>
      <c r="AA20" s="1"/>
    </row>
    <row r="21" spans="2:27" ht="21" customHeight="1" x14ac:dyDescent="0.25">
      <c r="B21" s="157"/>
      <c r="C21" s="33"/>
      <c r="D21" s="26"/>
      <c r="E21" s="32"/>
      <c r="F21" s="55"/>
      <c r="G21" s="26"/>
      <c r="H21" s="48"/>
      <c r="I21" s="24"/>
      <c r="J21" s="57"/>
      <c r="K21" s="57"/>
      <c r="L21" s="57"/>
      <c r="M21" s="58"/>
      <c r="N21" s="62"/>
      <c r="O21" s="39"/>
      <c r="P21" s="3" t="s">
        <v>40</v>
      </c>
      <c r="Q21" s="39"/>
      <c r="R21" s="39"/>
      <c r="S21" s="41"/>
      <c r="T21" s="39"/>
      <c r="U21" s="41"/>
      <c r="V21" s="41"/>
      <c r="W21" s="39"/>
      <c r="Z21" s="1"/>
      <c r="AA21" s="1"/>
    </row>
    <row r="22" spans="2:27" ht="21" customHeight="1" x14ac:dyDescent="0.25">
      <c r="B22" s="26"/>
      <c r="C22" s="31"/>
      <c r="D22" s="32"/>
      <c r="E22" s="32"/>
      <c r="F22" s="55"/>
      <c r="G22" s="26"/>
      <c r="H22" s="48"/>
      <c r="I22" s="24"/>
      <c r="J22" s="57"/>
      <c r="K22" s="57"/>
      <c r="L22" s="57"/>
      <c r="M22" s="58"/>
      <c r="N22" s="62"/>
      <c r="O22" s="39"/>
      <c r="P22" s="66" t="s">
        <v>41</v>
      </c>
      <c r="Q22" s="67">
        <f>MAX(780,0.0725*Q18)*IF(S22="Sì",1,2)</f>
        <v>6110.1143999999995</v>
      </c>
      <c r="R22" s="62"/>
      <c r="T22" s="39"/>
      <c r="U22" s="41"/>
      <c r="V22" s="41"/>
      <c r="W22" s="39"/>
      <c r="Z22" s="1"/>
      <c r="AA22" s="1"/>
    </row>
    <row r="23" spans="2:27" ht="21" customHeight="1" x14ac:dyDescent="0.25">
      <c r="B23" s="26"/>
      <c r="C23" s="31"/>
      <c r="D23" s="32"/>
      <c r="E23" s="32"/>
      <c r="F23" s="55"/>
      <c r="G23" s="26"/>
      <c r="H23" s="48"/>
      <c r="I23" s="24"/>
      <c r="J23" s="60"/>
      <c r="K23" s="60"/>
      <c r="L23" s="60"/>
      <c r="M23" s="58"/>
      <c r="N23" s="62"/>
      <c r="O23" s="39"/>
      <c r="P23" s="36" t="s">
        <v>42</v>
      </c>
      <c r="Q23" s="62">
        <f>MAX(231.5,K25)</f>
        <v>2160.9599999999996</v>
      </c>
      <c r="R23" s="62"/>
      <c r="S23" s="62"/>
      <c r="T23" s="39"/>
      <c r="U23" s="41"/>
      <c r="V23" s="41"/>
      <c r="W23" s="39"/>
      <c r="Z23" s="1"/>
      <c r="AA23" s="1"/>
    </row>
    <row r="24" spans="2:27" ht="21" customHeight="1" x14ac:dyDescent="0.25">
      <c r="B24" s="29"/>
      <c r="C24" s="34"/>
      <c r="D24" s="35"/>
      <c r="E24" s="35"/>
      <c r="F24" s="69"/>
      <c r="G24" s="29"/>
      <c r="H24" s="72"/>
      <c r="I24" s="25"/>
      <c r="J24" s="73"/>
      <c r="K24" s="73"/>
      <c r="L24" s="73"/>
      <c r="M24" s="74"/>
      <c r="N24" s="62"/>
      <c r="O24" s="39"/>
      <c r="P24" s="36" t="s">
        <v>43</v>
      </c>
      <c r="Q24" s="62">
        <v>72</v>
      </c>
      <c r="R24" s="62"/>
      <c r="S24" s="4"/>
      <c r="T24" s="39"/>
      <c r="U24" s="41"/>
      <c r="V24" s="41"/>
      <c r="W24" s="39"/>
      <c r="Z24" s="1"/>
      <c r="AA24" s="1"/>
    </row>
    <row r="25" spans="2:27" ht="24.95" customHeight="1" x14ac:dyDescent="0.25">
      <c r="B25" s="39"/>
      <c r="C25" s="41"/>
      <c r="D25" s="41"/>
      <c r="E25" s="41"/>
      <c r="F25" s="41"/>
      <c r="G25" s="39"/>
      <c r="H25" s="39" t="s">
        <v>44</v>
      </c>
      <c r="I25" s="75">
        <f>SUBTOTAL(9,I5:I24)</f>
        <v>54000</v>
      </c>
      <c r="J25" s="76"/>
      <c r="K25" s="75">
        <f>SUBTOTAL(9,K5:K24)</f>
        <v>2160.9599999999996</v>
      </c>
      <c r="L25" s="12" t="s">
        <v>45</v>
      </c>
      <c r="M25" s="11">
        <f>SUBTOTAL(9,M5:M24)</f>
        <v>56184.960000000014</v>
      </c>
      <c r="N25" s="4"/>
      <c r="O25" s="39"/>
      <c r="P25" s="39"/>
      <c r="Q25" s="4">
        <f>SUM(Q22:Q24)</f>
        <v>8343.0743999999995</v>
      </c>
      <c r="R25" s="4"/>
      <c r="S25" s="41"/>
      <c r="T25" s="39"/>
      <c r="U25" s="41"/>
      <c r="V25" s="41"/>
      <c r="W25" s="39"/>
      <c r="Z25" s="1"/>
      <c r="AA25" s="1"/>
    </row>
    <row r="26" spans="2:27" ht="24.95" customHeight="1" x14ac:dyDescent="0.25">
      <c r="B26" s="39"/>
      <c r="C26" s="41"/>
      <c r="D26" s="41"/>
      <c r="E26" s="41"/>
      <c r="F26" s="19"/>
      <c r="G26" s="39"/>
      <c r="H26" s="39" t="s">
        <v>46</v>
      </c>
      <c r="I26" s="77">
        <f>SUM(I5:I24)</f>
        <v>54000</v>
      </c>
      <c r="J26" s="61"/>
      <c r="K26" s="41"/>
      <c r="L26" s="39"/>
      <c r="M26" s="39"/>
      <c r="N26" s="39"/>
      <c r="O26" s="39"/>
      <c r="Q26" s="1"/>
      <c r="R26" s="1"/>
      <c r="S26" s="1"/>
      <c r="T26" s="39"/>
      <c r="U26" s="41"/>
      <c r="V26" s="41"/>
      <c r="W26" s="39"/>
      <c r="Z26" s="1"/>
      <c r="AA26" s="1"/>
    </row>
    <row r="27" spans="2:27" ht="24.95" customHeight="1" x14ac:dyDescent="0.25">
      <c r="B27" s="39"/>
      <c r="C27" s="41"/>
      <c r="D27" s="41"/>
      <c r="E27" s="41"/>
      <c r="F27" s="41"/>
      <c r="G27" s="39"/>
      <c r="H27" s="39"/>
      <c r="I27" s="78"/>
      <c r="J27" s="61"/>
      <c r="K27" s="41"/>
      <c r="L27" s="39"/>
      <c r="M27" s="39"/>
      <c r="N27" s="39"/>
      <c r="O27" s="39"/>
      <c r="P27" s="38"/>
      <c r="Q27" s="51">
        <f>(M25-Q28)/M25</f>
        <v>0.23871906716672919</v>
      </c>
      <c r="R27" s="51"/>
      <c r="S27" s="171">
        <f>1-(I25-Q19-Q22-Q24)/I25</f>
        <v>0.20836039333333323</v>
      </c>
      <c r="T27" s="39"/>
      <c r="U27" s="41"/>
      <c r="V27" s="41"/>
      <c r="W27" s="39"/>
      <c r="Z27" s="1"/>
      <c r="AA27" s="1"/>
    </row>
    <row r="28" spans="2:27" ht="24.95" customHeight="1" x14ac:dyDescent="0.25">
      <c r="B28" s="39"/>
      <c r="C28" s="41"/>
      <c r="D28" s="41"/>
      <c r="E28" s="41"/>
      <c r="F28" s="41"/>
      <c r="G28" s="39"/>
      <c r="H28" s="39"/>
      <c r="I28" s="39"/>
      <c r="J28" s="39"/>
      <c r="K28" s="39"/>
      <c r="L28" s="41"/>
      <c r="M28" s="39"/>
      <c r="N28" s="39"/>
      <c r="O28" s="79"/>
      <c r="P28" s="46" t="s">
        <v>56</v>
      </c>
      <c r="Q28" s="47">
        <f>M25-Q19-Q25</f>
        <v>42772.538760000018</v>
      </c>
      <c r="R28" s="50"/>
      <c r="S28" s="62"/>
      <c r="T28" s="39"/>
      <c r="U28" s="41"/>
      <c r="V28" s="41"/>
      <c r="W28" s="39"/>
      <c r="Z28" s="1"/>
      <c r="AA28" s="1"/>
    </row>
    <row r="29" spans="2:27" ht="24.95" customHeight="1" x14ac:dyDescent="0.25">
      <c r="B29" s="39"/>
      <c r="C29" s="41"/>
      <c r="D29" s="41"/>
      <c r="E29" s="41"/>
      <c r="F29" s="41"/>
      <c r="G29" s="39"/>
      <c r="H29" s="39"/>
      <c r="I29" s="39"/>
      <c r="J29" s="39"/>
      <c r="K29" s="39"/>
      <c r="L29" s="41"/>
      <c r="M29" s="50"/>
      <c r="N29" s="50"/>
      <c r="O29" s="50"/>
      <c r="P29" s="39"/>
      <c r="Q29" s="41"/>
      <c r="R29" s="41"/>
      <c r="S29" s="41"/>
      <c r="T29" s="39"/>
      <c r="U29" s="41"/>
      <c r="V29" s="41"/>
      <c r="W29" s="39"/>
      <c r="Z29" s="1"/>
      <c r="AA29" s="1"/>
    </row>
    <row r="30" spans="2:27" ht="24.95" customHeight="1" x14ac:dyDescent="0.25">
      <c r="B30" s="39"/>
      <c r="C30" s="41"/>
      <c r="D30" s="41"/>
      <c r="E30" s="41"/>
      <c r="F30" s="41"/>
      <c r="G30" s="39"/>
      <c r="H30" s="39"/>
      <c r="I30" s="39"/>
      <c r="J30" s="39"/>
      <c r="K30" s="39"/>
      <c r="L30" s="41"/>
      <c r="M30" s="39"/>
      <c r="N30" s="39"/>
      <c r="O30" s="39"/>
      <c r="P30" s="46" t="s">
        <v>57</v>
      </c>
      <c r="Q30" s="47">
        <f>Q28/12</f>
        <v>3564.3782300000016</v>
      </c>
      <c r="R30" s="50"/>
      <c r="S30" s="41"/>
      <c r="T30" s="39"/>
      <c r="U30" s="41"/>
      <c r="V30" s="41"/>
      <c r="W30" s="39"/>
      <c r="Z30" s="1"/>
      <c r="AA30" s="1"/>
    </row>
    <row r="31" spans="2:27" ht="24.95" customHeight="1" x14ac:dyDescent="0.25">
      <c r="B31" s="39"/>
      <c r="C31" s="41"/>
      <c r="D31" s="41"/>
      <c r="E31" s="41"/>
      <c r="F31" s="41"/>
      <c r="G31" s="39"/>
      <c r="H31" s="39"/>
      <c r="I31" s="39"/>
      <c r="J31" s="39"/>
      <c r="K31" s="39"/>
      <c r="L31" s="41"/>
      <c r="M31" s="39"/>
      <c r="N31" s="39"/>
      <c r="O31" s="39"/>
      <c r="P31" s="46" t="s">
        <v>94</v>
      </c>
      <c r="Q31" s="47">
        <f>Q30/13*12</f>
        <v>3290.1952892307704</v>
      </c>
      <c r="R31" s="50"/>
      <c r="S31" s="41"/>
      <c r="T31" s="39"/>
      <c r="U31" s="41"/>
      <c r="V31" s="41"/>
      <c r="W31" s="39"/>
      <c r="Z31" s="1"/>
      <c r="AA31" s="1"/>
    </row>
    <row r="32" spans="2:27" ht="24.95" customHeight="1" x14ac:dyDescent="0.25">
      <c r="B32" s="39"/>
      <c r="C32" s="41"/>
      <c r="D32" s="41"/>
      <c r="E32" s="41"/>
      <c r="F32" s="41"/>
      <c r="G32" s="39"/>
      <c r="H32" s="39"/>
      <c r="I32" s="39"/>
      <c r="J32" s="39"/>
      <c r="K32" s="39"/>
      <c r="L32" s="41"/>
      <c r="M32" s="39"/>
      <c r="N32" s="39"/>
      <c r="O32" s="39"/>
      <c r="P32" s="46" t="s">
        <v>153</v>
      </c>
      <c r="Q32" s="47">
        <f>Q30/15*12</f>
        <v>2851.5025840000012</v>
      </c>
      <c r="R32" s="39"/>
      <c r="S32" s="1"/>
      <c r="T32" s="39"/>
      <c r="U32" s="41"/>
      <c r="V32" s="41"/>
      <c r="W32" s="39"/>
      <c r="Z32" s="1"/>
      <c r="AA32" s="1"/>
    </row>
    <row r="33" spans="7:27" ht="24.95" customHeight="1" x14ac:dyDescent="0.25">
      <c r="G33" s="39" t="s">
        <v>110</v>
      </c>
      <c r="H33" s="176">
        <f>H34*0.78*0+26639</f>
        <v>26639</v>
      </c>
      <c r="I33" s="39" t="s">
        <v>117</v>
      </c>
      <c r="J33" s="39"/>
      <c r="K33" s="39"/>
      <c r="W33" s="1"/>
      <c r="Z33" s="1"/>
      <c r="AA33" s="1"/>
    </row>
    <row r="34" spans="7:27" ht="24.95" customHeight="1" x14ac:dyDescent="0.25">
      <c r="G34" s="39" t="s">
        <v>111</v>
      </c>
      <c r="H34" s="176">
        <f>(SUM(I5:I29)+SUM(L5:L29))*0+34152</f>
        <v>34152</v>
      </c>
      <c r="I34" s="39" t="s">
        <v>116</v>
      </c>
      <c r="J34" s="39"/>
      <c r="N34" s="189" t="s">
        <v>4</v>
      </c>
      <c r="O34" s="247" t="s">
        <v>27</v>
      </c>
      <c r="P34" s="247"/>
      <c r="Q34" s="248"/>
      <c r="R34" s="246" t="s">
        <v>124</v>
      </c>
      <c r="S34" s="247"/>
      <c r="T34" s="248"/>
      <c r="U34" s="246" t="s">
        <v>126</v>
      </c>
      <c r="V34" s="247"/>
      <c r="W34" s="248"/>
      <c r="Z34" s="1"/>
      <c r="AA34" s="1"/>
    </row>
    <row r="35" spans="7:27" ht="24.95" customHeight="1" x14ac:dyDescent="0.25">
      <c r="G35" s="39"/>
      <c r="H35" s="176"/>
      <c r="I35" s="39"/>
      <c r="J35" s="39"/>
      <c r="N35" s="188"/>
      <c r="O35" s="43" t="s">
        <v>127</v>
      </c>
      <c r="P35" s="43" t="s">
        <v>128</v>
      </c>
      <c r="Q35" s="185" t="s">
        <v>125</v>
      </c>
      <c r="R35" s="43"/>
      <c r="S35" s="43"/>
      <c r="T35" s="185"/>
      <c r="U35" s="43"/>
      <c r="V35" s="43"/>
      <c r="W35" s="185"/>
      <c r="Z35" s="41" t="s">
        <v>131</v>
      </c>
      <c r="AA35" s="1"/>
    </row>
    <row r="36" spans="7:27" ht="24.95" customHeight="1" x14ac:dyDescent="0.25">
      <c r="G36" s="39" t="s">
        <v>112</v>
      </c>
      <c r="H36" s="173">
        <f>SUMIFS(I5:I24,N5:N24,I36)+SUMIFS(L5:L24,N5:N24,I36)</f>
        <v>54024</v>
      </c>
      <c r="I36" s="39" t="str">
        <f>""</f>
        <v/>
      </c>
      <c r="J36" s="39"/>
      <c r="N36" s="188" t="s">
        <v>129</v>
      </c>
      <c r="O36" s="200">
        <v>2900</v>
      </c>
      <c r="P36" s="192">
        <f>O36*12/240</f>
        <v>145</v>
      </c>
      <c r="Q36" s="182"/>
      <c r="R36" s="201">
        <v>2900</v>
      </c>
      <c r="S36" s="202">
        <f>R36*12/1784*8</f>
        <v>156.05381165919283</v>
      </c>
      <c r="T36" s="182">
        <v>2119</v>
      </c>
      <c r="U36" s="193">
        <v>2900</v>
      </c>
      <c r="V36" s="192">
        <f>U36*12/1784*8</f>
        <v>156.05381165919283</v>
      </c>
      <c r="W36" s="182">
        <v>2120</v>
      </c>
      <c r="Y36" s="2">
        <f>U36*1.04*12</f>
        <v>36192</v>
      </c>
      <c r="Z36" s="206">
        <f>W36*13/1784</f>
        <v>15.448430493273543</v>
      </c>
      <c r="AA36" s="1"/>
    </row>
    <row r="37" spans="7:27" ht="24.95" customHeight="1" x14ac:dyDescent="0.25">
      <c r="G37" s="39" t="s">
        <v>113</v>
      </c>
      <c r="H37" s="173">
        <f>SUMIFS(I5:I24,N5:N24,I37)+SUMIFS(L5:L24,N5:N24,I37)</f>
        <v>0</v>
      </c>
      <c r="I37" s="39" t="s">
        <v>22</v>
      </c>
      <c r="J37" s="177" t="s">
        <v>118</v>
      </c>
      <c r="K37" s="179"/>
      <c r="N37" s="190">
        <v>2025</v>
      </c>
      <c r="O37" s="203">
        <f>O36*1.1</f>
        <v>3190.0000000000005</v>
      </c>
      <c r="P37" s="2">
        <f>O37/240*12</f>
        <v>159.5</v>
      </c>
      <c r="Q37" s="183">
        <v>2332</v>
      </c>
      <c r="R37" s="204">
        <f>S37*240/12</f>
        <v>3433.1838565022422</v>
      </c>
      <c r="S37" s="204">
        <f>S36*1.1</f>
        <v>171.65919282511211</v>
      </c>
      <c r="T37" s="183">
        <v>2510</v>
      </c>
      <c r="U37" s="194">
        <f>V37*240/12</f>
        <v>3300</v>
      </c>
      <c r="V37" s="195">
        <v>165</v>
      </c>
      <c r="W37" s="183">
        <v>2412</v>
      </c>
      <c r="X37" s="187">
        <f>Y37/$Y$36</f>
        <v>1.1379310344827587</v>
      </c>
      <c r="Y37" s="2">
        <f>U37*1.04*12</f>
        <v>41184</v>
      </c>
      <c r="Z37" s="206">
        <f>W37*13/240/8</f>
        <v>16.331250000000001</v>
      </c>
      <c r="AA37" s="1"/>
    </row>
    <row r="38" spans="7:27" ht="24.95" customHeight="1" x14ac:dyDescent="0.25">
      <c r="G38" s="39" t="s">
        <v>114</v>
      </c>
      <c r="H38" s="174">
        <f>H36</f>
        <v>54024</v>
      </c>
      <c r="I38" s="39"/>
      <c r="J38" s="178">
        <f>H34-H36-H37</f>
        <v>-19872</v>
      </c>
      <c r="K38" s="52" t="s">
        <v>119</v>
      </c>
      <c r="N38" s="190">
        <v>2026</v>
      </c>
      <c r="O38" s="203">
        <f>O37*1.1</f>
        <v>3509.0000000000009</v>
      </c>
      <c r="P38" s="2">
        <f t="shared" ref="P38:P39" si="3">O38/240*12</f>
        <v>175.45000000000005</v>
      </c>
      <c r="Q38" s="183">
        <v>2565</v>
      </c>
      <c r="R38" s="204">
        <f t="shared" ref="R38:R39" si="4">S38*240/12</f>
        <v>3745.291479820628</v>
      </c>
      <c r="S38" s="204">
        <f>S36*1.2</f>
        <v>187.2645739910314</v>
      </c>
      <c r="T38" s="183">
        <v>2738</v>
      </c>
      <c r="U38" s="194">
        <f>V38*240/12</f>
        <v>3600</v>
      </c>
      <c r="V38" s="195">
        <f>V37*1.1*0+180</f>
        <v>180</v>
      </c>
      <c r="W38" s="183">
        <v>2632</v>
      </c>
      <c r="X38" s="187">
        <f t="shared" ref="X38" si="5">Y38/$Y$36</f>
        <v>1.2413793103448276</v>
      </c>
      <c r="Y38" s="2">
        <f>U38*1.04*12</f>
        <v>44928</v>
      </c>
      <c r="Z38" s="206">
        <f t="shared" ref="Z38:Z39" si="6">W38*13/240/8</f>
        <v>17.820833333333333</v>
      </c>
      <c r="AA38" s="1"/>
    </row>
    <row r="39" spans="7:27" ht="24.95" customHeight="1" x14ac:dyDescent="0.25">
      <c r="G39" s="39" t="s">
        <v>115</v>
      </c>
      <c r="H39" s="175">
        <f>K26</f>
        <v>0</v>
      </c>
      <c r="N39" s="191">
        <v>2027</v>
      </c>
      <c r="O39" s="205">
        <f>O38*1.1</f>
        <v>3859.9000000000015</v>
      </c>
      <c r="P39" s="196">
        <f t="shared" si="3"/>
        <v>192.99500000000006</v>
      </c>
      <c r="Q39" s="184">
        <v>2822</v>
      </c>
      <c r="R39" s="197">
        <f t="shared" si="4"/>
        <v>4057.3991031390137</v>
      </c>
      <c r="S39" s="197">
        <f>S36*1.3</f>
        <v>202.86995515695068</v>
      </c>
      <c r="T39" s="184">
        <v>2970</v>
      </c>
      <c r="U39" s="198">
        <f t="shared" ref="U39" si="7">V39*240/12</f>
        <v>4000</v>
      </c>
      <c r="V39" s="199">
        <f>V38*1.1*0+200</f>
        <v>200</v>
      </c>
      <c r="W39" s="184">
        <v>2925</v>
      </c>
      <c r="X39" s="187">
        <f>Y39/$Y$36</f>
        <v>1.3793103448275863</v>
      </c>
      <c r="Y39" s="2">
        <f>U39*1.04*12</f>
        <v>49920</v>
      </c>
      <c r="Z39" s="206">
        <f t="shared" si="6"/>
        <v>19.8046875</v>
      </c>
      <c r="AA39" s="1"/>
    </row>
    <row r="40" spans="7:27" ht="24.95" customHeight="1" x14ac:dyDescent="0.25">
      <c r="M40" s="186">
        <f>O39/O36</f>
        <v>1.3310000000000004</v>
      </c>
      <c r="AA40" s="1"/>
    </row>
    <row r="41" spans="7:27" ht="24.95" customHeight="1" x14ac:dyDescent="0.25">
      <c r="N41" s="39" t="s">
        <v>123</v>
      </c>
    </row>
  </sheetData>
  <mergeCells count="6">
    <mergeCell ref="C1:M1"/>
    <mergeCell ref="C2:M2"/>
    <mergeCell ref="C4:D4"/>
    <mergeCell ref="U34:W34"/>
    <mergeCell ref="R34:T34"/>
    <mergeCell ref="O34:Q34"/>
  </mergeCells>
  <phoneticPr fontId="12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9AD7-A8F0-4D16-BB5C-AFC4504E80FA}">
  <sheetPr codeName="Foglio8"/>
  <dimension ref="B3:N23"/>
  <sheetViews>
    <sheetView workbookViewId="0">
      <selection activeCell="E5" sqref="E5"/>
    </sheetView>
  </sheetViews>
  <sheetFormatPr defaultRowHeight="15" x14ac:dyDescent="0.25"/>
  <cols>
    <col min="3" max="3" width="11.85546875" bestFit="1" customWidth="1"/>
    <col min="5" max="5" width="11.85546875" bestFit="1" customWidth="1"/>
  </cols>
  <sheetData>
    <row r="3" spans="2:6" x14ac:dyDescent="0.25">
      <c r="B3" s="167" t="s">
        <v>4</v>
      </c>
    </row>
    <row r="4" spans="2:6" x14ac:dyDescent="0.25">
      <c r="B4" s="167">
        <v>2020</v>
      </c>
      <c r="C4" s="147">
        <v>27425</v>
      </c>
      <c r="D4">
        <v>2023</v>
      </c>
      <c r="E4" s="147">
        <f>(C4+C5)/2</f>
        <v>31704</v>
      </c>
    </row>
    <row r="5" spans="2:6" x14ac:dyDescent="0.25">
      <c r="B5" s="167">
        <v>2021</v>
      </c>
      <c r="C5" s="147">
        <v>35983</v>
      </c>
      <c r="D5">
        <v>2024</v>
      </c>
      <c r="E5" s="147">
        <f>(C5+C6)/2</f>
        <v>39652.5</v>
      </c>
      <c r="F5" s="172">
        <f>C5/C4</f>
        <v>1.3120510483135825</v>
      </c>
    </row>
    <row r="6" spans="2:6" x14ac:dyDescent="0.25">
      <c r="B6" s="167">
        <v>2022</v>
      </c>
      <c r="C6" s="168">
        <v>43322</v>
      </c>
      <c r="E6" s="147"/>
      <c r="F6" s="172">
        <f>C6/C5</f>
        <v>1.2039574243392712</v>
      </c>
    </row>
    <row r="7" spans="2:6" x14ac:dyDescent="0.25">
      <c r="B7" s="167">
        <v>2023</v>
      </c>
      <c r="C7" s="147"/>
      <c r="E7" s="147"/>
    </row>
    <row r="17" spans="2:14" ht="18" customHeight="1" x14ac:dyDescent="0.25">
      <c r="B17" s="249" t="s">
        <v>100</v>
      </c>
      <c r="C17" s="249"/>
      <c r="D17" s="249"/>
      <c r="E17" s="249"/>
      <c r="F17" s="249"/>
      <c r="G17" s="249"/>
      <c r="H17" s="249"/>
      <c r="I17" s="249"/>
      <c r="J17" s="249"/>
      <c r="K17" s="249"/>
      <c r="L17" s="249"/>
      <c r="M17" s="249"/>
      <c r="N17" s="249"/>
    </row>
    <row r="18" spans="2:14" x14ac:dyDescent="0.25">
      <c r="B18" s="249"/>
      <c r="C18" s="249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</row>
    <row r="19" spans="2:14" x14ac:dyDescent="0.25">
      <c r="B19" s="249"/>
      <c r="C19" s="249"/>
      <c r="D19" s="249"/>
      <c r="E19" s="249"/>
      <c r="F19" s="249"/>
      <c r="G19" s="249"/>
      <c r="H19" s="249"/>
      <c r="I19" s="249"/>
      <c r="J19" s="249"/>
      <c r="K19" s="249"/>
      <c r="L19" s="249"/>
      <c r="M19" s="249"/>
      <c r="N19" s="249"/>
    </row>
    <row r="20" spans="2:14" x14ac:dyDescent="0.25"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</row>
    <row r="21" spans="2:14" x14ac:dyDescent="0.25">
      <c r="B21" s="249"/>
      <c r="C21" s="249"/>
      <c r="D21" s="249"/>
      <c r="E21" s="249"/>
      <c r="F21" s="249"/>
      <c r="G21" s="249"/>
      <c r="H21" s="249"/>
      <c r="I21" s="249"/>
      <c r="J21" s="249"/>
      <c r="K21" s="249"/>
      <c r="L21" s="249"/>
      <c r="M21" s="249"/>
      <c r="N21" s="249"/>
    </row>
    <row r="22" spans="2:14" x14ac:dyDescent="0.25"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</row>
    <row r="23" spans="2:14" x14ac:dyDescent="0.25">
      <c r="B23" s="249"/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</row>
  </sheetData>
  <mergeCells count="1">
    <mergeCell ref="B17:N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2863-D563-4336-8AFC-D331BE68F384}">
  <sheetPr codeName="Foglio9"/>
  <dimension ref="B2:K28"/>
  <sheetViews>
    <sheetView tabSelected="1" workbookViewId="0">
      <selection activeCell="I13" sqref="I13:I14"/>
    </sheetView>
  </sheetViews>
  <sheetFormatPr defaultRowHeight="15" x14ac:dyDescent="0.25"/>
  <cols>
    <col min="2" max="2" width="12.42578125" style="167" customWidth="1"/>
    <col min="3" max="4" width="20.7109375" customWidth="1"/>
    <col min="5" max="5" width="17.5703125" customWidth="1"/>
    <col min="6" max="6" width="10.7109375" bestFit="1" customWidth="1"/>
    <col min="7" max="7" width="11.140625" bestFit="1" customWidth="1"/>
    <col min="8" max="8" width="14.140625" customWidth="1"/>
    <col min="9" max="9" width="11.140625" customWidth="1"/>
    <col min="10" max="10" width="11.5703125" customWidth="1"/>
    <col min="11" max="11" width="15.5703125" customWidth="1"/>
  </cols>
  <sheetData>
    <row r="2" spans="2:11" s="218" customFormat="1" ht="36.75" customHeight="1" x14ac:dyDescent="0.25">
      <c r="B2" s="218" t="s">
        <v>4</v>
      </c>
      <c r="F2" s="218" t="s">
        <v>96</v>
      </c>
      <c r="G2" s="218" t="s">
        <v>107</v>
      </c>
      <c r="H2" s="218" t="s">
        <v>106</v>
      </c>
      <c r="I2" s="218" t="s">
        <v>130</v>
      </c>
      <c r="J2" s="218" t="s">
        <v>158</v>
      </c>
    </row>
    <row r="3" spans="2:11" x14ac:dyDescent="0.25">
      <c r="B3" s="255">
        <v>2020</v>
      </c>
      <c r="C3" t="s">
        <v>104</v>
      </c>
      <c r="D3" s="253">
        <f>E3+E4</f>
        <v>7237</v>
      </c>
      <c r="E3" s="147">
        <f>SUM('2021 reale'!X5:X6)</f>
        <v>7237</v>
      </c>
      <c r="F3" s="147">
        <v>5000</v>
      </c>
      <c r="G3" s="147"/>
      <c r="H3" s="254">
        <f>'2021 reale'!U28</f>
        <v>0.23112448056388413</v>
      </c>
      <c r="I3" s="251">
        <f>(E3*(1-H3)+F3*0.8)/8</f>
        <v>1195.5440167698962</v>
      </c>
      <c r="J3" s="251">
        <f>I3*12/13</f>
        <v>1103.5790924029811</v>
      </c>
    </row>
    <row r="4" spans="2:11" x14ac:dyDescent="0.25">
      <c r="B4" s="255"/>
      <c r="C4" t="s">
        <v>105</v>
      </c>
      <c r="D4" s="253"/>
      <c r="E4" s="147"/>
      <c r="H4" s="252"/>
      <c r="I4" s="252"/>
      <c r="J4" s="252"/>
    </row>
    <row r="5" spans="2:11" x14ac:dyDescent="0.25">
      <c r="B5" s="255">
        <v>2021</v>
      </c>
      <c r="C5" t="s">
        <v>104</v>
      </c>
      <c r="D5" s="253">
        <f t="shared" ref="D5" si="0">E5+E6</f>
        <v>30785</v>
      </c>
      <c r="E5" s="147">
        <f>SUM('2021 reale'!L5:L17)-SUM('2021 reale'!X5:X6)</f>
        <v>26035</v>
      </c>
      <c r="G5">
        <v>1100</v>
      </c>
      <c r="H5" s="254">
        <f>'2021 reale'!U28</f>
        <v>0.23112448056388413</v>
      </c>
      <c r="I5" s="251">
        <f>((E5+E6)*(1-H5)+F5+F6-G5-G6)/12</f>
        <v>1880.8194054867356</v>
      </c>
      <c r="J5" s="251">
        <f t="shared" ref="J5" si="1">I5*12/13</f>
        <v>1736.1409896800637</v>
      </c>
      <c r="K5" s="251">
        <f>I5*12</f>
        <v>22569.832865840828</v>
      </c>
    </row>
    <row r="6" spans="2:11" x14ac:dyDescent="0.25">
      <c r="B6" s="255"/>
      <c r="C6" t="s">
        <v>105</v>
      </c>
      <c r="D6" s="253"/>
      <c r="E6" s="147">
        <f>SUM('2021 reale'!L18:L19)</f>
        <v>4750</v>
      </c>
      <c r="H6" s="252"/>
      <c r="I6" s="252"/>
      <c r="J6" s="252"/>
      <c r="K6" s="252"/>
    </row>
    <row r="7" spans="2:11" x14ac:dyDescent="0.25">
      <c r="B7" s="255">
        <v>2022</v>
      </c>
      <c r="C7" t="s">
        <v>104</v>
      </c>
      <c r="D7" s="253">
        <f t="shared" ref="D7" si="2">E7+E8</f>
        <v>32198.07</v>
      </c>
      <c r="E7" s="147">
        <f>SUM('2022 reale'!I5:I21)-'2022 reale'!I13</f>
        <v>31798.07</v>
      </c>
      <c r="G7">
        <v>1100</v>
      </c>
      <c r="H7" s="254">
        <f>'2022 reale'!R32</f>
        <v>0.15466998638427709</v>
      </c>
      <c r="I7" s="251">
        <f>((E7+E8)*(1-H7)+F7+F8-G7-G8)/12</f>
        <v>2176.4995792916666</v>
      </c>
      <c r="J7" s="251">
        <f t="shared" ref="J7" si="3">I7*12/13</f>
        <v>2009.076534730769</v>
      </c>
      <c r="K7" s="251">
        <f t="shared" ref="K7" si="4">I7*12</f>
        <v>26117.994951499997</v>
      </c>
    </row>
    <row r="8" spans="2:11" x14ac:dyDescent="0.25">
      <c r="B8" s="255"/>
      <c r="C8" t="s">
        <v>105</v>
      </c>
      <c r="D8" s="253"/>
      <c r="E8" s="147">
        <f>'2022 reale'!I13</f>
        <v>400</v>
      </c>
      <c r="H8" s="252"/>
      <c r="I8" s="252"/>
      <c r="J8" s="252"/>
      <c r="K8" s="252"/>
    </row>
    <row r="9" spans="2:11" x14ac:dyDescent="0.25">
      <c r="B9" s="255">
        <v>2023</v>
      </c>
      <c r="C9" t="s">
        <v>104</v>
      </c>
      <c r="D9" s="253">
        <f t="shared" ref="D9" si="5">E9+E10</f>
        <v>34126.01</v>
      </c>
      <c r="E9" s="147">
        <f>SUM('2023 reale'!I5:I17)-'2023 reale'!I7</f>
        <v>33226.01</v>
      </c>
      <c r="G9">
        <v>1200</v>
      </c>
      <c r="H9" s="254">
        <f>'2023 reale'!R28</f>
        <v>0.16427830006130217</v>
      </c>
      <c r="I9" s="251">
        <f t="shared" ref="I9" si="6">((E9+E10)*(1-H9)+F9+F10-G9-G10)/12</f>
        <v>2343.3205907770835</v>
      </c>
      <c r="J9" s="251">
        <f t="shared" ref="J9" si="7">I9*12/13</f>
        <v>2163.0651607173077</v>
      </c>
      <c r="K9" s="251">
        <f t="shared" ref="K9" si="8">I9*12</f>
        <v>28119.847089325001</v>
      </c>
    </row>
    <row r="10" spans="2:11" x14ac:dyDescent="0.25">
      <c r="B10" s="255"/>
      <c r="C10" t="s">
        <v>105</v>
      </c>
      <c r="D10" s="253"/>
      <c r="E10" s="147">
        <f>'2023 reale'!I7</f>
        <v>900</v>
      </c>
      <c r="F10" s="147">
        <v>800</v>
      </c>
      <c r="H10" s="252"/>
      <c r="I10" s="252"/>
      <c r="J10" s="252"/>
      <c r="K10" s="252"/>
    </row>
    <row r="11" spans="2:11" x14ac:dyDescent="0.25">
      <c r="B11" s="255">
        <v>2024</v>
      </c>
      <c r="C11" t="s">
        <v>104</v>
      </c>
      <c r="D11" s="253">
        <f t="shared" ref="D11" si="9">E11+E12</f>
        <v>42497</v>
      </c>
      <c r="E11" s="147">
        <f>SUM('2024 reale'!I5:I22)-E12</f>
        <v>34919</v>
      </c>
      <c r="F11" s="147"/>
      <c r="G11">
        <v>1200</v>
      </c>
      <c r="H11" s="254">
        <f>'2024 reale'!S27</f>
        <v>0.15041247564533966</v>
      </c>
      <c r="I11" s="251">
        <f>((E11+E12)*(1-H11)+F11+F12-G11-G12)/12</f>
        <v>3000.4100852083334</v>
      </c>
      <c r="J11" s="251">
        <f t="shared" ref="J11" si="10">I11*12/13</f>
        <v>2769.6093094230769</v>
      </c>
      <c r="K11" s="251">
        <f t="shared" ref="K11" si="11">I11*12</f>
        <v>36004.921022499999</v>
      </c>
    </row>
    <row r="12" spans="2:11" x14ac:dyDescent="0.25">
      <c r="B12" s="255"/>
      <c r="C12" t="s">
        <v>105</v>
      </c>
      <c r="D12" s="253"/>
      <c r="E12" s="147">
        <f>'2024 reale'!I9+'2024 reale'!I16+'2024 reale'!I17+'2024 reale'!I19+'2024 reale'!I21+'2024 reale'!I22</f>
        <v>7578</v>
      </c>
      <c r="F12" s="147">
        <f>400+700</f>
        <v>1100</v>
      </c>
      <c r="H12" s="252"/>
      <c r="I12" s="252"/>
      <c r="J12" s="252"/>
      <c r="K12" s="252"/>
    </row>
    <row r="13" spans="2:11" x14ac:dyDescent="0.25">
      <c r="B13" s="255">
        <v>2025</v>
      </c>
      <c r="C13" t="s">
        <v>104</v>
      </c>
      <c r="D13" s="253">
        <f t="shared" ref="D13" si="12">E13+E14</f>
        <v>43834.14</v>
      </c>
      <c r="E13" s="147">
        <f>SUM('2025 reale'!F4:F21)-'2025 reale'!F7-'2025 reale'!F10-'2025 reale'!F12-'2025 reale'!F18-'2025 reale'!F18-'2025 reale'!F21</f>
        <v>38688.14</v>
      </c>
      <c r="G13">
        <v>1200</v>
      </c>
      <c r="H13" s="250">
        <f>'2025 reale'!U28</f>
        <v>0.16076849538852589</v>
      </c>
      <c r="I13" s="251">
        <f>((E13+E14)*(1-H13)+F13+F14-G13-G14)/12</f>
        <v>2965.5826054624999</v>
      </c>
      <c r="J13" s="251">
        <f t="shared" ref="J13" si="13">I13*12/13</f>
        <v>2737.4608665807691</v>
      </c>
      <c r="K13" s="251">
        <f t="shared" ref="K13" si="14">I13*12</f>
        <v>35586.991265550001</v>
      </c>
    </row>
    <row r="14" spans="2:11" x14ac:dyDescent="0.25">
      <c r="B14" s="255"/>
      <c r="C14" t="s">
        <v>105</v>
      </c>
      <c r="D14" s="253"/>
      <c r="E14" s="147">
        <f>'2025 reale'!F26-'Analisi complessiva lavoro'!E13</f>
        <v>5146</v>
      </c>
      <c r="H14" s="250"/>
      <c r="I14" s="252"/>
      <c r="J14" s="252"/>
      <c r="K14" s="252"/>
    </row>
    <row r="15" spans="2:11" x14ac:dyDescent="0.25">
      <c r="B15" s="255">
        <v>2026</v>
      </c>
      <c r="C15" t="s">
        <v>104</v>
      </c>
      <c r="D15" s="253">
        <f t="shared" ref="D15" si="15">E15+E16</f>
        <v>44487.5</v>
      </c>
      <c r="E15" s="147">
        <f>SUM('2026 reale'!G4:G19)-E16</f>
        <v>39487.5</v>
      </c>
      <c r="F15" s="147">
        <f>5000-2700</f>
        <v>2300</v>
      </c>
      <c r="G15">
        <v>1300</v>
      </c>
      <c r="H15" s="250">
        <f>'2026 reale'!V28</f>
        <v>0.20863172402360208</v>
      </c>
      <c r="I15" s="251">
        <f>((E15+E16)*(1-H15)+F15+F16-G15-G16)/12</f>
        <v>3017.1663481250002</v>
      </c>
      <c r="J15" s="251">
        <f t="shared" ref="J15" si="16">I15*12/13</f>
        <v>2785.0766290384618</v>
      </c>
      <c r="K15" s="251">
        <f>I15*12</f>
        <v>36205.996177500005</v>
      </c>
    </row>
    <row r="16" spans="2:11" x14ac:dyDescent="0.25">
      <c r="B16" s="255"/>
      <c r="C16" t="s">
        <v>105</v>
      </c>
      <c r="D16" s="253"/>
      <c r="E16" s="147">
        <f>'2026 reale'!G8</f>
        <v>5000</v>
      </c>
      <c r="H16" s="250"/>
      <c r="I16" s="252"/>
      <c r="J16" s="252"/>
      <c r="K16" s="252"/>
    </row>
    <row r="17" spans="2:11" x14ac:dyDescent="0.25">
      <c r="B17" s="255">
        <v>2027</v>
      </c>
      <c r="C17" t="s">
        <v>104</v>
      </c>
      <c r="D17" s="253">
        <f t="shared" ref="D17" si="17">E17+E18</f>
        <v>45590</v>
      </c>
      <c r="E17" s="147">
        <f>SUM('2027 bozza'!G4:G19)-E18</f>
        <v>45590</v>
      </c>
      <c r="G17">
        <v>1200</v>
      </c>
      <c r="H17" s="250">
        <f>'2027 bozza'!V28</f>
        <v>0.20859552884404475</v>
      </c>
      <c r="I17" s="251">
        <f>((E17+E18)*(1-H17)+F17+F18-G17-G18)/12</f>
        <v>2906.6774866666669</v>
      </c>
      <c r="J17" s="251">
        <f t="shared" ref="J17" si="18">I17*12/13</f>
        <v>2683.0869107692311</v>
      </c>
      <c r="K17" s="251">
        <f t="shared" ref="K17" si="19">I17*12</f>
        <v>34880.129840000001</v>
      </c>
    </row>
    <row r="18" spans="2:11" x14ac:dyDescent="0.25">
      <c r="B18" s="255"/>
      <c r="C18" t="s">
        <v>105</v>
      </c>
      <c r="D18" s="253"/>
      <c r="E18" s="147">
        <v>0</v>
      </c>
      <c r="H18" s="250"/>
      <c r="I18" s="252"/>
      <c r="J18" s="252"/>
      <c r="K18" s="252"/>
    </row>
    <row r="19" spans="2:11" ht="15" customHeight="1" x14ac:dyDescent="0.25">
      <c r="B19" s="255">
        <v>2028</v>
      </c>
      <c r="C19" t="s">
        <v>104</v>
      </c>
      <c r="D19" s="253">
        <f t="shared" ref="D19" si="20">E19+E20</f>
        <v>48000</v>
      </c>
      <c r="E19" s="147">
        <f>SUM('2028 bozza'!G4:G19)-E20</f>
        <v>48000</v>
      </c>
      <c r="G19">
        <v>1200</v>
      </c>
      <c r="H19" s="250">
        <f>'2028 bozza'!V28</f>
        <v>0.20852219812500006</v>
      </c>
      <c r="I19" s="251">
        <f>((E19+E20)*(1-H19)+F19+F20-G19-G20)/12</f>
        <v>3065.9112074999998</v>
      </c>
      <c r="J19" s="251">
        <f t="shared" ref="J19" si="21">I19*12/13</f>
        <v>2830.0718838461539</v>
      </c>
      <c r="K19" s="251">
        <f t="shared" ref="K19" si="22">I19*12</f>
        <v>36790.93449</v>
      </c>
    </row>
    <row r="20" spans="2:11" x14ac:dyDescent="0.25">
      <c r="B20" s="255"/>
      <c r="C20" t="s">
        <v>105</v>
      </c>
      <c r="D20" s="253"/>
      <c r="E20" s="147">
        <v>0</v>
      </c>
      <c r="H20" s="250"/>
      <c r="I20" s="252"/>
      <c r="J20" s="252"/>
      <c r="K20" s="252"/>
    </row>
    <row r="21" spans="2:11" ht="15" customHeight="1" x14ac:dyDescent="0.25"/>
    <row r="23" spans="2:11" x14ac:dyDescent="0.25">
      <c r="B23" s="256" t="s">
        <v>148</v>
      </c>
      <c r="C23" t="s">
        <v>104</v>
      </c>
      <c r="D23" s="253">
        <f>E23+E24</f>
        <v>39600</v>
      </c>
      <c r="E23" s="147">
        <f>Studio!Y37/1.04</f>
        <v>39600</v>
      </c>
      <c r="F23" s="147"/>
      <c r="G23">
        <v>1200</v>
      </c>
      <c r="H23" s="254">
        <f>Studio!S27</f>
        <v>0.20836039333333323</v>
      </c>
      <c r="I23" s="251">
        <f>((E23+E24)*(1-H23)+F23+F24-G23-G24)/12</f>
        <v>2512.4107020000006</v>
      </c>
      <c r="J23" s="251">
        <f t="shared" ref="J23:J27" si="23">I23*12/13</f>
        <v>2319.1483403076927</v>
      </c>
      <c r="K23" s="251">
        <f t="shared" ref="K23" si="24">I23*12</f>
        <v>30148.928424000005</v>
      </c>
    </row>
    <row r="24" spans="2:11" x14ac:dyDescent="0.25">
      <c r="B24" s="257"/>
      <c r="C24" t="s">
        <v>105</v>
      </c>
      <c r="D24" s="253"/>
      <c r="E24" s="147"/>
      <c r="F24" s="147"/>
      <c r="H24" s="252"/>
      <c r="I24" s="252"/>
      <c r="J24" s="252"/>
      <c r="K24" s="252"/>
    </row>
    <row r="25" spans="2:11" x14ac:dyDescent="0.25">
      <c r="B25" s="256" t="s">
        <v>149</v>
      </c>
      <c r="C25" t="s">
        <v>104</v>
      </c>
      <c r="D25" s="253">
        <f t="shared" ref="D25" si="25">E25+E26</f>
        <v>43200</v>
      </c>
      <c r="E25" s="147">
        <f>Studio!Y38/1.04</f>
        <v>43200</v>
      </c>
      <c r="G25">
        <v>1200</v>
      </c>
      <c r="H25" s="254">
        <f>H23</f>
        <v>0.20836039333333323</v>
      </c>
      <c r="I25" s="251">
        <f>((E25+E26)*(1-H25)+F25+F26-G25-G26)/12</f>
        <v>2749.9025839999999</v>
      </c>
      <c r="J25" s="251">
        <f t="shared" si="23"/>
        <v>2538.3716159999999</v>
      </c>
      <c r="K25" s="251">
        <f>I25*12</f>
        <v>32998.831008000001</v>
      </c>
    </row>
    <row r="26" spans="2:11" x14ac:dyDescent="0.25">
      <c r="B26" s="257"/>
      <c r="C26" t="s">
        <v>105</v>
      </c>
      <c r="D26" s="253"/>
      <c r="E26" s="147"/>
      <c r="H26" s="252"/>
      <c r="I26" s="252"/>
      <c r="J26" s="252"/>
      <c r="K26" s="252"/>
    </row>
    <row r="27" spans="2:11" x14ac:dyDescent="0.25">
      <c r="B27" s="256" t="s">
        <v>150</v>
      </c>
      <c r="C27" t="s">
        <v>104</v>
      </c>
      <c r="D27" s="253">
        <f t="shared" ref="D27" si="26">E27+E28</f>
        <v>48000</v>
      </c>
      <c r="E27" s="147">
        <f>Studio!Y39/1.04</f>
        <v>48000</v>
      </c>
      <c r="G27">
        <v>1200</v>
      </c>
      <c r="H27" s="254">
        <f>H25</f>
        <v>0.20836039333333323</v>
      </c>
      <c r="I27" s="251">
        <f>((E27+E28)*(1-H27)+F27+F28-G27-G28)/12</f>
        <v>3066.5584266666669</v>
      </c>
      <c r="J27" s="251">
        <f t="shared" si="23"/>
        <v>2830.6693169230775</v>
      </c>
      <c r="K27" s="251">
        <f t="shared" ref="K27" si="27">I27*12</f>
        <v>36798.701120000005</v>
      </c>
    </row>
    <row r="28" spans="2:11" x14ac:dyDescent="0.25">
      <c r="B28" s="257"/>
      <c r="C28" t="s">
        <v>105</v>
      </c>
      <c r="D28" s="253"/>
      <c r="E28" s="147"/>
      <c r="H28" s="252"/>
      <c r="I28" s="252"/>
      <c r="J28" s="252"/>
      <c r="K28" s="252"/>
    </row>
  </sheetData>
  <mergeCells count="71">
    <mergeCell ref="J23:J24"/>
    <mergeCell ref="J25:J26"/>
    <mergeCell ref="J27:J28"/>
    <mergeCell ref="H19:H20"/>
    <mergeCell ref="I19:I20"/>
    <mergeCell ref="H25:H26"/>
    <mergeCell ref="I25:I26"/>
    <mergeCell ref="J13:J14"/>
    <mergeCell ref="J15:J16"/>
    <mergeCell ref="J17:J18"/>
    <mergeCell ref="J19:J20"/>
    <mergeCell ref="K5:K6"/>
    <mergeCell ref="K7:K8"/>
    <mergeCell ref="K9:K10"/>
    <mergeCell ref="K11:K12"/>
    <mergeCell ref="J3:J4"/>
    <mergeCell ref="J5:J6"/>
    <mergeCell ref="J7:J8"/>
    <mergeCell ref="J9:J10"/>
    <mergeCell ref="J11:J12"/>
    <mergeCell ref="D13:D14"/>
    <mergeCell ref="D23:D24"/>
    <mergeCell ref="D25:D26"/>
    <mergeCell ref="D27:D28"/>
    <mergeCell ref="B27:B28"/>
    <mergeCell ref="B23:B24"/>
    <mergeCell ref="B15:B16"/>
    <mergeCell ref="D15:D16"/>
    <mergeCell ref="B19:B20"/>
    <mergeCell ref="D19:D20"/>
    <mergeCell ref="B25:B26"/>
    <mergeCell ref="B13:B14"/>
    <mergeCell ref="B17:B18"/>
    <mergeCell ref="D17:D18"/>
    <mergeCell ref="I9:I10"/>
    <mergeCell ref="I11:I12"/>
    <mergeCell ref="K25:K26"/>
    <mergeCell ref="H27:H28"/>
    <mergeCell ref="I27:I28"/>
    <mergeCell ref="K27:K28"/>
    <mergeCell ref="H23:H24"/>
    <mergeCell ref="I23:I24"/>
    <mergeCell ref="K23:K24"/>
    <mergeCell ref="H15:H16"/>
    <mergeCell ref="I15:I16"/>
    <mergeCell ref="K15:K16"/>
    <mergeCell ref="H17:H18"/>
    <mergeCell ref="I17:I18"/>
    <mergeCell ref="K17:K18"/>
    <mergeCell ref="K19:K20"/>
    <mergeCell ref="B3:B4"/>
    <mergeCell ref="B5:B6"/>
    <mergeCell ref="B7:B8"/>
    <mergeCell ref="B9:B10"/>
    <mergeCell ref="B11:B12"/>
    <mergeCell ref="H13:H14"/>
    <mergeCell ref="I13:I14"/>
    <mergeCell ref="K13:K14"/>
    <mergeCell ref="D3:D4"/>
    <mergeCell ref="D5:D6"/>
    <mergeCell ref="D7:D8"/>
    <mergeCell ref="D9:D10"/>
    <mergeCell ref="D11:D12"/>
    <mergeCell ref="H3:H4"/>
    <mergeCell ref="H5:H6"/>
    <mergeCell ref="H7:H8"/>
    <mergeCell ref="H9:H10"/>
    <mergeCell ref="H11:H12"/>
    <mergeCell ref="I3:I4"/>
    <mergeCell ref="I5:I6"/>
    <mergeCell ref="I7:I8"/>
  </mergeCells>
  <phoneticPr fontId="1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2021 reale</vt:lpstr>
      <vt:lpstr>2022 reale</vt:lpstr>
      <vt:lpstr>2023 reale</vt:lpstr>
      <vt:lpstr>Linea</vt:lpstr>
      <vt:lpstr>2024 reale</vt:lpstr>
      <vt:lpstr>2025 reale</vt:lpstr>
      <vt:lpstr>2026 reale</vt:lpstr>
      <vt:lpstr>2027 bozza</vt:lpstr>
      <vt:lpstr>2028 bozza</vt:lpstr>
      <vt:lpstr>Studi</vt:lpstr>
      <vt:lpstr>Studio</vt:lpstr>
      <vt:lpstr>Reddito medio inar</vt:lpstr>
      <vt:lpstr>Analisi complessiva lavoro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2006-09-25T09:17:32Z</dcterms:created>
  <dcterms:modified xsi:type="dcterms:W3CDTF">2026-07-21T15:20:52Z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</Properties>
</file>